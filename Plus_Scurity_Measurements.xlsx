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رسالة ماجستير\عملي\MATLA\codes\PlusCode-Security Measurements\"/>
    </mc:Choice>
  </mc:AlternateContent>
  <xr:revisionPtr revIDLastSave="0" documentId="13_ncr:1_{6E980D5B-950F-4CD3-B426-03011303DD62}" xr6:coauthVersionLast="47" xr6:coauthVersionMax="47" xr10:uidLastSave="{00000000-0000-0000-0000-000000000000}"/>
  <bookViews>
    <workbookView xWindow="-120" yWindow="-120" windowWidth="20730" windowHeight="11040" xr2:uid="{160AC8B0-1BB8-455F-9D14-60B50388BC29}"/>
  </bookViews>
  <sheets>
    <sheet name="AVERAGE" sheetId="11" r:id="rId1"/>
    <sheet name="IEDS" sheetId="2" r:id="rId2"/>
    <sheet name="VC" sheetId="4" r:id="rId3"/>
    <sheet name="MIE" sheetId="5" r:id="rId4"/>
    <sheet name="CIE" sheetId="6" r:id="rId5"/>
    <sheet name="VQ" sheetId="7" r:id="rId6"/>
    <sheet name="DRPE" sheetId="8" r:id="rId7"/>
    <sheet name="SCAN" sheetId="9" r:id="rId8"/>
    <sheet name="Sheet1" sheetId="1" r:id="rId9"/>
    <sheet name="ل" sheetId="10" r:id="rId10"/>
  </sheets>
  <definedNames>
    <definedName name="_xlnm.Print_Area" localSheetId="0">AVERAGE!$A$1:$G$10</definedName>
    <definedName name="_xlnm.Print_Area" localSheetId="4">CIE!$A$1:$G$33</definedName>
    <definedName name="_xlnm.Print_Area" localSheetId="6">DRPE!$A$1:$G$33</definedName>
    <definedName name="_xlnm.Print_Area" localSheetId="1">IEDS!$A$1:$G$33</definedName>
    <definedName name="_xlnm.Print_Area" localSheetId="3">MIE!$A$1:$G$33</definedName>
    <definedName name="_xlnm.Print_Area" localSheetId="7">SCAN!$A$1:$G$33</definedName>
    <definedName name="_xlnm.Print_Area" localSheetId="8">Sheet1!$A$1:$H$34</definedName>
    <definedName name="_xlnm.Print_Area" localSheetId="2">VC!$A$1:$G$33</definedName>
    <definedName name="_xlnm.Print_Area" localSheetId="5">VQ!$A$1:$G$33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1" l="1"/>
  <c r="E10" i="11"/>
  <c r="D10" i="11"/>
  <c r="G10" i="11"/>
  <c r="C10" i="11"/>
  <c r="B10" i="11"/>
  <c r="C33" i="5"/>
  <c r="D33" i="5"/>
  <c r="E33" i="5"/>
  <c r="F33" i="5"/>
  <c r="G33" i="5"/>
  <c r="B33" i="5"/>
  <c r="F33" i="7"/>
  <c r="G33" i="7"/>
  <c r="E33" i="7"/>
  <c r="C33" i="4"/>
  <c r="D33" i="4"/>
  <c r="E33" i="4"/>
  <c r="F33" i="4"/>
  <c r="G33" i="4"/>
  <c r="B33" i="4"/>
  <c r="C33" i="6"/>
  <c r="D33" i="6"/>
  <c r="E33" i="6"/>
  <c r="F33" i="6"/>
  <c r="G33" i="6"/>
  <c r="B33" i="6"/>
  <c r="C33" i="7"/>
  <c r="D33" i="7"/>
  <c r="B33" i="7"/>
  <c r="C33" i="8"/>
  <c r="D33" i="8"/>
  <c r="E33" i="8"/>
  <c r="F33" i="8"/>
  <c r="G33" i="8"/>
  <c r="B33" i="8"/>
  <c r="C33" i="9"/>
  <c r="D33" i="9"/>
  <c r="E33" i="9"/>
  <c r="F33" i="9"/>
  <c r="G33" i="9"/>
  <c r="B33" i="9"/>
  <c r="C33" i="2"/>
  <c r="D33" i="2"/>
  <c r="E33" i="2"/>
  <c r="F33" i="2"/>
  <c r="G33" i="2"/>
  <c r="B33" i="2"/>
  <c r="B34" i="1"/>
  <c r="H33" i="1"/>
  <c r="G33" i="1"/>
  <c r="F33" i="1"/>
  <c r="C33" i="1"/>
  <c r="D33" i="1"/>
  <c r="E33" i="1"/>
  <c r="B33" i="1"/>
</calcChain>
</file>

<file path=xl/sharedStrings.xml><?xml version="1.0" encoding="utf-8"?>
<sst xmlns="http://schemas.openxmlformats.org/spreadsheetml/2006/main" count="203" uniqueCount="22">
  <si>
    <t>image</t>
  </si>
  <si>
    <t>IEDS</t>
  </si>
  <si>
    <t>VC</t>
  </si>
  <si>
    <t>MIE</t>
  </si>
  <si>
    <t>CIE</t>
  </si>
  <si>
    <t>VQ</t>
  </si>
  <si>
    <t>DRPE</t>
  </si>
  <si>
    <t>SCAN</t>
  </si>
  <si>
    <t>Entropy</t>
  </si>
  <si>
    <t>AVERAGE</t>
  </si>
  <si>
    <t>Max</t>
  </si>
  <si>
    <t>MSE</t>
  </si>
  <si>
    <t>PSNR</t>
  </si>
  <si>
    <t>SSIM</t>
  </si>
  <si>
    <t>NPCR</t>
  </si>
  <si>
    <t>UACI</t>
  </si>
  <si>
    <t>Average</t>
  </si>
  <si>
    <t>Algorithm</t>
  </si>
  <si>
    <t>Best</t>
  </si>
  <si>
    <t>المعايير</t>
  </si>
  <si>
    <t xml:space="preserve">التقنية 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</si>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</sst>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charset val="178"/>
      <scheme val="minor"/>
    </font>
    <font>
      <b/>
      <u/>
      <sz val="11"/>
      <color rgb="FFFF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name val="Arial"/>
      <family val="2"/>
      <charset val="178"/>
      <scheme val="min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sz val="11"/>
      <color rgb="FF000000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sz val="14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2" borderId="9" xfId="0" applyFont="1" applyFill="1" applyBorder="1" applyAlignment="1">
      <alignment horizontal="center" vertical="center"/>
    </xf>
    <xf numFmtId="0" fontId="5" fillId="0" borderId="9" xfId="0" applyFont="1" applyBorder="1"/>
    <xf numFmtId="0" fontId="6" fillId="0" borderId="1" xfId="0" applyFont="1" applyBorder="1" applyAlignment="1">
      <alignment horizontal="center"/>
    </xf>
    <xf numFmtId="0" fontId="0" fillId="0" borderId="2" xfId="0" applyBorder="1"/>
    <xf numFmtId="0" fontId="2" fillId="0" borderId="9" xfId="0" applyFont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2" fillId="2" borderId="1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/>
    <xf numFmtId="0" fontId="6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2" xfId="0" applyFont="1" applyBorder="1"/>
    <xf numFmtId="0" fontId="0" fillId="0" borderId="25" xfId="0" applyBorder="1"/>
    <xf numFmtId="0" fontId="9" fillId="0" borderId="9" xfId="0" applyFont="1" applyBorder="1"/>
    <xf numFmtId="0" fontId="7" fillId="0" borderId="9" xfId="0" applyFont="1" applyBorder="1"/>
    <xf numFmtId="0" fontId="8" fillId="0" borderId="0" xfId="0" applyFont="1"/>
    <xf numFmtId="11" fontId="8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1" fontId="0" fillId="0" borderId="0" xfId="0" applyNumberFormat="1" applyBorder="1" applyAlignment="1">
      <alignment horizontal="center"/>
    </xf>
    <xf numFmtId="0" fontId="0" fillId="0" borderId="0" xfId="0" applyBorder="1"/>
    <xf numFmtId="0" fontId="3" fillId="0" borderId="0" xfId="0" applyFont="1" applyBorder="1"/>
    <xf numFmtId="11" fontId="0" fillId="0" borderId="0" xfId="0" applyNumberFormat="1" applyBorder="1"/>
    <xf numFmtId="0" fontId="2" fillId="2" borderId="3" xfId="0" applyFont="1" applyFill="1" applyBorder="1" applyAlignment="1">
      <alignment horizontal="center" vertical="center"/>
    </xf>
    <xf numFmtId="0" fontId="0" fillId="0" borderId="3" xfId="0" applyBorder="1"/>
    <xf numFmtId="0" fontId="4" fillId="2" borderId="26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security_metrics_charts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ar-IQ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AVERAGE!$A$3</c:f>
              <c:strCache>
                <c:ptCount val="1"/>
                <c:pt idx="0">
                  <c:v>IEDS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AVERAGE!$B$2:$G$2</c:f>
              <c:strCache>
                <c:ptCount val="6"/>
                <c:pt idx="0">
                  <c:v>Entropy</c:v>
                </c:pt>
                <c:pt idx="1">
                  <c:v>MSE</c:v>
                </c:pt>
                <c:pt idx="2">
                  <c:v>PSNR</c:v>
                </c:pt>
                <c:pt idx="3">
                  <c:v>SSIM</c:v>
                </c:pt>
                <c:pt idx="4">
                  <c:v>NPCR</c:v>
                </c:pt>
                <c:pt idx="5">
                  <c:v>UACI</c:v>
                </c:pt>
              </c:strCache>
            </c:strRef>
          </c:cat>
          <c:val>
            <c:numRef>
              <c:f>AVERAGE!$B$3:$G$3</c:f>
              <c:numCache>
                <c:formatCode>General</c:formatCode>
                <c:ptCount val="6"/>
                <c:pt idx="0">
                  <c:v>7.1856409222357218</c:v>
                </c:pt>
                <c:pt idx="1">
                  <c:v>0.29027958988755337</c:v>
                </c:pt>
                <c:pt idx="2">
                  <c:v>5.3729789474680842</c:v>
                </c:pt>
                <c:pt idx="3">
                  <c:v>8.4743625892856281E-3</c:v>
                </c:pt>
                <c:pt idx="4">
                  <c:v>96.969706217447921</c:v>
                </c:pt>
                <c:pt idx="5">
                  <c:v>33.512500837736049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F-44F7-9FEA-C341AEAFD235}"/>
            </c:ext>
          </c:extLst>
        </c:ser>
        <c:ser>
          <c:idx val="1"/>
          <c:order val="1"/>
          <c:tx>
            <c:strRef>
              <c:f>AVERAGE!$A$4</c:f>
              <c:strCache>
                <c:ptCount val="1"/>
                <c:pt idx="0">
                  <c:v>VC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AVERAGE!$B$2:$G$2</c:f>
              <c:strCache>
                <c:ptCount val="6"/>
                <c:pt idx="0">
                  <c:v>Entropy</c:v>
                </c:pt>
                <c:pt idx="1">
                  <c:v>MSE</c:v>
                </c:pt>
                <c:pt idx="2">
                  <c:v>PSNR</c:v>
                </c:pt>
                <c:pt idx="3">
                  <c:v>SSIM</c:v>
                </c:pt>
                <c:pt idx="4">
                  <c:v>NPCR</c:v>
                </c:pt>
                <c:pt idx="5">
                  <c:v>UACI</c:v>
                </c:pt>
              </c:strCache>
            </c:strRef>
          </c:cat>
          <c:val>
            <c:numRef>
              <c:f>AVERAGE!$B$4:$G$4</c:f>
              <c:numCache>
                <c:formatCode>General</c:formatCode>
                <c:ptCount val="6"/>
                <c:pt idx="0">
                  <c:v>7.2083429911810564</c:v>
                </c:pt>
                <c:pt idx="1">
                  <c:v>0.2782268591576107</c:v>
                </c:pt>
                <c:pt idx="2">
                  <c:v>5.560917661928328</c:v>
                </c:pt>
                <c:pt idx="3">
                  <c:v>8.2176349764412591E-3</c:v>
                </c:pt>
                <c:pt idx="4">
                  <c:v>32.603234185112804</c:v>
                </c:pt>
                <c:pt idx="5">
                  <c:v>10.803673505263596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F-44F7-9FEA-C341AEAFD235}"/>
            </c:ext>
          </c:extLst>
        </c:ser>
        <c:ser>
          <c:idx val="2"/>
          <c:order val="2"/>
          <c:tx>
            <c:strRef>
              <c:f>AVERAGE!$A$5</c:f>
              <c:strCache>
                <c:ptCount val="1"/>
                <c:pt idx="0">
                  <c:v>MIE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AVERAGE!$B$2:$G$2</c:f>
              <c:strCache>
                <c:ptCount val="6"/>
                <c:pt idx="0">
                  <c:v>Entropy</c:v>
                </c:pt>
                <c:pt idx="1">
                  <c:v>MSE</c:v>
                </c:pt>
                <c:pt idx="2">
                  <c:v>PSNR</c:v>
                </c:pt>
                <c:pt idx="3">
                  <c:v>SSIM</c:v>
                </c:pt>
                <c:pt idx="4">
                  <c:v>NPCR</c:v>
                </c:pt>
                <c:pt idx="5">
                  <c:v>UACI</c:v>
                </c:pt>
              </c:strCache>
            </c:strRef>
          </c:cat>
          <c:val>
            <c:numRef>
              <c:f>AVERAGE!$B$5:$G$5</c:f>
              <c:numCache>
                <c:formatCode>General</c:formatCode>
                <c:ptCount val="6"/>
                <c:pt idx="0">
                  <c:v>7.1730434426371561</c:v>
                </c:pt>
                <c:pt idx="1">
                  <c:v>0.2898834896828294</c:v>
                </c:pt>
                <c:pt idx="2">
                  <c:v>5.3787946861397229</c:v>
                </c:pt>
                <c:pt idx="3">
                  <c:v>8.6611298434517772E-3</c:v>
                </c:pt>
                <c:pt idx="4">
                  <c:v>98.358357747395829</c:v>
                </c:pt>
                <c:pt idx="5">
                  <c:v>33.455781624985178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FF-44F7-9FEA-C341AEAFD235}"/>
            </c:ext>
          </c:extLst>
        </c:ser>
        <c:ser>
          <c:idx val="3"/>
          <c:order val="3"/>
          <c:tx>
            <c:strRef>
              <c:f>AVERAGE!$A$6</c:f>
              <c:strCache>
                <c:ptCount val="1"/>
                <c:pt idx="0">
                  <c:v>CIE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AVERAGE!$B$2:$G$2</c:f>
              <c:strCache>
                <c:ptCount val="6"/>
                <c:pt idx="0">
                  <c:v>Entropy</c:v>
                </c:pt>
                <c:pt idx="1">
                  <c:v>MSE</c:v>
                </c:pt>
                <c:pt idx="2">
                  <c:v>PSNR</c:v>
                </c:pt>
                <c:pt idx="3">
                  <c:v>SSIM</c:v>
                </c:pt>
                <c:pt idx="4">
                  <c:v>NPCR</c:v>
                </c:pt>
                <c:pt idx="5">
                  <c:v>UACI</c:v>
                </c:pt>
              </c:strCache>
            </c:strRef>
          </c:cat>
          <c:val>
            <c:numRef>
              <c:f>AVERAGE!$B$6:$G$6</c:f>
              <c:numCache>
                <c:formatCode>General</c:formatCode>
                <c:ptCount val="6"/>
                <c:pt idx="0">
                  <c:v>7.9972007743193485</c:v>
                </c:pt>
                <c:pt idx="1">
                  <c:v>0.2902240427171941</c:v>
                </c:pt>
                <c:pt idx="2">
                  <c:v>5.3712804759182218</c:v>
                </c:pt>
                <c:pt idx="3">
                  <c:v>9.5338852067398359E-3</c:v>
                </c:pt>
                <c:pt idx="4">
                  <c:v>73.687286376953125</c:v>
                </c:pt>
                <c:pt idx="5">
                  <c:v>21.144480187906289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FF-44F7-9FEA-C341AEAFD235}"/>
            </c:ext>
          </c:extLst>
        </c:ser>
        <c:ser>
          <c:idx val="4"/>
          <c:order val="4"/>
          <c:tx>
            <c:strRef>
              <c:f>AVERAGE!$A$7</c:f>
              <c:strCache>
                <c:ptCount val="1"/>
                <c:pt idx="0">
                  <c:v>VQ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AVERAGE!$B$2:$G$2</c:f>
              <c:strCache>
                <c:ptCount val="6"/>
                <c:pt idx="0">
                  <c:v>Entropy</c:v>
                </c:pt>
                <c:pt idx="1">
                  <c:v>MSE</c:v>
                </c:pt>
                <c:pt idx="2">
                  <c:v>PSNR</c:v>
                </c:pt>
                <c:pt idx="3">
                  <c:v>SSIM</c:v>
                </c:pt>
                <c:pt idx="4">
                  <c:v>NPCR</c:v>
                </c:pt>
                <c:pt idx="5">
                  <c:v>UACI</c:v>
                </c:pt>
              </c:strCache>
            </c:strRef>
          </c:cat>
          <c:val>
            <c:numRef>
              <c:f>AVERAGE!$B$7:$G$7</c:f>
              <c:numCache>
                <c:formatCode>General</c:formatCode>
                <c:ptCount val="6"/>
                <c:pt idx="0">
                  <c:v>7.0384641183215262</c:v>
                </c:pt>
                <c:pt idx="1">
                  <c:v>0.23652993387511173</c:v>
                </c:pt>
                <c:pt idx="2">
                  <c:v>6.3103427283476936</c:v>
                </c:pt>
                <c:pt idx="3">
                  <c:v>9.9047044516483006E-3</c:v>
                </c:pt>
                <c:pt idx="4">
                  <c:v>98.129599889119461</c:v>
                </c:pt>
                <c:pt idx="5">
                  <c:v>16.231486638387043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FF-44F7-9FEA-C341AEAFD235}"/>
            </c:ext>
          </c:extLst>
        </c:ser>
        <c:ser>
          <c:idx val="5"/>
          <c:order val="5"/>
          <c:tx>
            <c:strRef>
              <c:f>AVERAGE!$A$8</c:f>
              <c:strCache>
                <c:ptCount val="1"/>
                <c:pt idx="0">
                  <c:v>DRPE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AVERAGE!$B$2:$G$2</c:f>
              <c:strCache>
                <c:ptCount val="6"/>
                <c:pt idx="0">
                  <c:v>Entropy</c:v>
                </c:pt>
                <c:pt idx="1">
                  <c:v>MSE</c:v>
                </c:pt>
                <c:pt idx="2">
                  <c:v>PSNR</c:v>
                </c:pt>
                <c:pt idx="3">
                  <c:v>SSIM</c:v>
                </c:pt>
                <c:pt idx="4">
                  <c:v>NPCR</c:v>
                </c:pt>
                <c:pt idx="5">
                  <c:v>UACI</c:v>
                </c:pt>
              </c:strCache>
            </c:strRef>
          </c:cat>
          <c:val>
            <c:numRef>
              <c:f>AVERAGE!$B$8:$G$8</c:f>
              <c:numCache>
                <c:formatCode>General</c:formatCode>
                <c:ptCount val="6"/>
                <c:pt idx="0">
                  <c:v>7.1122381914897597</c:v>
                </c:pt>
                <c:pt idx="1">
                  <c:v>0.30059497546428565</c:v>
                </c:pt>
                <c:pt idx="2">
                  <c:v>5.2208948586683874</c:v>
                </c:pt>
                <c:pt idx="3">
                  <c:v>8.6737362832732326E-3</c:v>
                </c:pt>
                <c:pt idx="4">
                  <c:v>99.485954920450851</c:v>
                </c:pt>
                <c:pt idx="5">
                  <c:v>33.754838744798306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FF-44F7-9FEA-C341AEAFD235}"/>
            </c:ext>
          </c:extLst>
        </c:ser>
        <c:ser>
          <c:idx val="6"/>
          <c:order val="6"/>
          <c:tx>
            <c:strRef>
              <c:f>AVERAGE!$A$9</c:f>
              <c:strCache>
                <c:ptCount val="1"/>
                <c:pt idx="0">
                  <c:v>SCAN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AVERAGE!$B$2:$G$2</c:f>
              <c:strCache>
                <c:ptCount val="6"/>
                <c:pt idx="0">
                  <c:v>Entropy</c:v>
                </c:pt>
                <c:pt idx="1">
                  <c:v>MSE</c:v>
                </c:pt>
                <c:pt idx="2">
                  <c:v>PSNR</c:v>
                </c:pt>
                <c:pt idx="3">
                  <c:v>SSIM</c:v>
                </c:pt>
                <c:pt idx="4">
                  <c:v>NPCR</c:v>
                </c:pt>
                <c:pt idx="5">
                  <c:v>UACI</c:v>
                </c:pt>
              </c:strCache>
            </c:strRef>
          </c:cat>
          <c:val>
            <c:numRef>
              <c:f>AVERAGE!$B$9:$G$9</c:f>
              <c:numCache>
                <c:formatCode>General</c:formatCode>
                <c:ptCount val="6"/>
                <c:pt idx="0">
                  <c:v>7.2613609791079874</c:v>
                </c:pt>
                <c:pt idx="1">
                  <c:v>0.28664358591297018</c:v>
                </c:pt>
                <c:pt idx="2">
                  <c:v>5.4282262184871177</c:v>
                </c:pt>
                <c:pt idx="3">
                  <c:v>8.4205029055356932E-3</c:v>
                </c:pt>
                <c:pt idx="4">
                  <c:v>97.4371337890625</c:v>
                </c:pt>
                <c:pt idx="5">
                  <c:v>33.373413883783122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FF-44F7-9FEA-C341AEAFD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5416288"/>
        <c:axId val="1385417248"/>
        <c:axId val="0"/>
      </c:bar3DChart>
      <c:catAx>
        <c:axId val="1385416288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385417248"/>
        <c:crosses val="autoZero"/>
        <c:auto val="1"/>
        <c:lblAlgn val="ctr"/>
        <c:lblOffset val="100"/>
        <c:noMultiLvlLbl val="0"/>
      </c:catAx>
      <c:valAx>
        <c:axId val="13854172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RESULT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38541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AVERAGE!$B$2</c:f>
              <c:strCache>
                <c:ptCount val="1"/>
                <c:pt idx="0">
                  <c:v>Entropy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AVERAGE!$A$3:$A$9</c:f>
              <c:strCache>
                <c:ptCount val="7"/>
                <c:pt idx="0">
                  <c:v>IEDS</c:v>
                </c:pt>
                <c:pt idx="1">
                  <c:v>VC</c:v>
                </c:pt>
                <c:pt idx="2">
                  <c:v>MIE</c:v>
                </c:pt>
                <c:pt idx="3">
                  <c:v>CIE</c:v>
                </c:pt>
                <c:pt idx="4">
                  <c:v>VQ</c:v>
                </c:pt>
                <c:pt idx="5">
                  <c:v>DRPE</c:v>
                </c:pt>
                <c:pt idx="6">
                  <c:v>SCAN</c:v>
                </c:pt>
              </c:strCache>
            </c:strRef>
          </c:cat>
          <c:val>
            <c:numRef>
              <c:f>AVERAGE!$B$3:$B$9</c:f>
              <c:numCache>
                <c:formatCode>General</c:formatCode>
                <c:ptCount val="7"/>
                <c:pt idx="0">
                  <c:v>7.1856409222357218</c:v>
                </c:pt>
                <c:pt idx="1">
                  <c:v>7.2083429911810564</c:v>
                </c:pt>
                <c:pt idx="2">
                  <c:v>7.1730434426371561</c:v>
                </c:pt>
                <c:pt idx="3">
                  <c:v>7.9972007743193485</c:v>
                </c:pt>
                <c:pt idx="4">
                  <c:v>7.0384641183215262</c:v>
                </c:pt>
                <c:pt idx="5">
                  <c:v>7.1122381914897597</c:v>
                </c:pt>
                <c:pt idx="6">
                  <c:v>7.2613609791079874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9-43C0-BDCF-75152D1D2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1625984"/>
        <c:axId val="1381638464"/>
      </c:barChart>
      <c:catAx>
        <c:axId val="1381625984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Algorithms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1884601924759404"/>
              <c:y val="0.875069262175561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381638464"/>
        <c:crosses val="autoZero"/>
        <c:auto val="1"/>
        <c:lblAlgn val="ctr"/>
        <c:lblOffset val="100"/>
        <c:noMultiLvlLbl val="0"/>
      </c:catAx>
      <c:valAx>
        <c:axId val="1381638464"/>
        <c:scaling>
          <c:orientation val="minMax"/>
        </c:scaling>
        <c:delete val="0"/>
        <c:axPos val="r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metrics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38162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AVERAGE!$C$2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AVERAGE!$A$3:$A$9</c:f>
              <c:strCache>
                <c:ptCount val="7"/>
                <c:pt idx="0">
                  <c:v>IEDS</c:v>
                </c:pt>
                <c:pt idx="1">
                  <c:v>VC</c:v>
                </c:pt>
                <c:pt idx="2">
                  <c:v>MIE</c:v>
                </c:pt>
                <c:pt idx="3">
                  <c:v>CIE</c:v>
                </c:pt>
                <c:pt idx="4">
                  <c:v>VQ</c:v>
                </c:pt>
                <c:pt idx="5">
                  <c:v>DRPE</c:v>
                </c:pt>
                <c:pt idx="6">
                  <c:v>SCAN</c:v>
                </c:pt>
              </c:strCache>
            </c:strRef>
          </c:cat>
          <c:val>
            <c:numRef>
              <c:f>AVERAGE!$C$3:$C$9</c:f>
              <c:numCache>
                <c:formatCode>General</c:formatCode>
                <c:ptCount val="7"/>
                <c:pt idx="0">
                  <c:v>0.29027958988755337</c:v>
                </c:pt>
                <c:pt idx="1">
                  <c:v>0.2782268591576107</c:v>
                </c:pt>
                <c:pt idx="2">
                  <c:v>0.2898834896828294</c:v>
                </c:pt>
                <c:pt idx="3">
                  <c:v>0.2902240427171941</c:v>
                </c:pt>
                <c:pt idx="4">
                  <c:v>0.23652993387511173</c:v>
                </c:pt>
                <c:pt idx="5">
                  <c:v>0.30059497546428565</c:v>
                </c:pt>
                <c:pt idx="6">
                  <c:v>0.28664358591297018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E-4AD3-AF44-A9A1DC42F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401408"/>
        <c:axId val="1385407168"/>
      </c:barChart>
      <c:catAx>
        <c:axId val="1385401408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IQ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385407168"/>
        <c:crosses val="autoZero"/>
        <c:auto val="1"/>
        <c:lblAlgn val="ctr"/>
        <c:lblOffset val="100"/>
        <c:noMultiLvlLbl val="0"/>
      </c:catAx>
      <c:valAx>
        <c:axId val="13854071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38540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AVERAGE!$D$2</c:f>
              <c:strCache>
                <c:ptCount val="1"/>
                <c:pt idx="0">
                  <c:v>PSNR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AVERAGE!$A$3:$A$9</c:f>
              <c:strCache>
                <c:ptCount val="7"/>
                <c:pt idx="0">
                  <c:v>IEDS</c:v>
                </c:pt>
                <c:pt idx="1">
                  <c:v>VC</c:v>
                </c:pt>
                <c:pt idx="2">
                  <c:v>MIE</c:v>
                </c:pt>
                <c:pt idx="3">
                  <c:v>CIE</c:v>
                </c:pt>
                <c:pt idx="4">
                  <c:v>VQ</c:v>
                </c:pt>
                <c:pt idx="5">
                  <c:v>DRPE</c:v>
                </c:pt>
                <c:pt idx="6">
                  <c:v>SCAN</c:v>
                </c:pt>
              </c:strCache>
            </c:strRef>
          </c:cat>
          <c:val>
            <c:numRef>
              <c:f>AVERAGE!$D$3:$D$9</c:f>
              <c:numCache>
                <c:formatCode>General</c:formatCode>
                <c:ptCount val="7"/>
                <c:pt idx="0">
                  <c:v>5.3729789474680842</c:v>
                </c:pt>
                <c:pt idx="1">
                  <c:v>5.560917661928328</c:v>
                </c:pt>
                <c:pt idx="2">
                  <c:v>5.3787946861397229</c:v>
                </c:pt>
                <c:pt idx="3">
                  <c:v>5.3712804759182218</c:v>
                </c:pt>
                <c:pt idx="4">
                  <c:v>6.3103427283476936</c:v>
                </c:pt>
                <c:pt idx="5">
                  <c:v>5.2208948586683874</c:v>
                </c:pt>
                <c:pt idx="6">
                  <c:v>5.4282262184871177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2-48A2-BECE-A27EFCCCA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385414848"/>
        <c:axId val="1385411488"/>
      </c:barChart>
      <c:catAx>
        <c:axId val="13854148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385411488"/>
        <c:crosses val="autoZero"/>
        <c:auto val="1"/>
        <c:lblAlgn val="ctr"/>
        <c:lblOffset val="100"/>
        <c:noMultiLvlLbl val="0"/>
      </c:catAx>
      <c:valAx>
        <c:axId val="138541148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38541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SSIM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AVERAGE!$E$2</c:f>
              <c:strCache>
                <c:ptCount val="1"/>
                <c:pt idx="0">
                  <c:v>SSIM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AVERAGE!$A$3:$A$9</c:f>
              <c:strCache>
                <c:ptCount val="7"/>
                <c:pt idx="0">
                  <c:v>IEDS</c:v>
                </c:pt>
                <c:pt idx="1">
                  <c:v>VC</c:v>
                </c:pt>
                <c:pt idx="2">
                  <c:v>MIE</c:v>
                </c:pt>
                <c:pt idx="3">
                  <c:v>CIE</c:v>
                </c:pt>
                <c:pt idx="4">
                  <c:v>VQ</c:v>
                </c:pt>
                <c:pt idx="5">
                  <c:v>DRPE</c:v>
                </c:pt>
                <c:pt idx="6">
                  <c:v>SCAN</c:v>
                </c:pt>
              </c:strCache>
            </c:strRef>
          </c:cat>
          <c:val>
            <c:numRef>
              <c:f>AVERAGE!$E$3:$E$9</c:f>
              <c:numCache>
                <c:formatCode>General</c:formatCode>
                <c:ptCount val="7"/>
                <c:pt idx="0">
                  <c:v>8.4743625892856281E-3</c:v>
                </c:pt>
                <c:pt idx="1">
                  <c:v>8.2176349764412591E-3</c:v>
                </c:pt>
                <c:pt idx="2">
                  <c:v>8.6611298434517772E-3</c:v>
                </c:pt>
                <c:pt idx="3">
                  <c:v>9.5338852067398359E-3</c:v>
                </c:pt>
                <c:pt idx="4">
                  <c:v>9.9047044516483006E-3</c:v>
                </c:pt>
                <c:pt idx="5">
                  <c:v>8.6737362832732326E-3</c:v>
                </c:pt>
                <c:pt idx="6">
                  <c:v>8.4205029055356932E-3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F-425D-8222-2C29CEF78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379234896"/>
        <c:axId val="1379240176"/>
      </c:barChart>
      <c:catAx>
        <c:axId val="1379234896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cap="all" baseline="0">
                    <a:effectLst/>
                  </a:rPr>
                  <a:t>Algorithms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379240176"/>
        <c:crosses val="autoZero"/>
        <c:auto val="1"/>
        <c:lblAlgn val="ctr"/>
        <c:lblOffset val="100"/>
        <c:noMultiLvlLbl val="0"/>
      </c:catAx>
      <c:valAx>
        <c:axId val="137924017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37923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NPCR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AVERAGE!$F$2</c:f>
              <c:strCache>
                <c:ptCount val="1"/>
                <c:pt idx="0">
                  <c:v>NPCR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AVERAGE!$A$3:$A$9</c:f>
              <c:strCache>
                <c:ptCount val="7"/>
                <c:pt idx="0">
                  <c:v>IEDS</c:v>
                </c:pt>
                <c:pt idx="1">
                  <c:v>VC</c:v>
                </c:pt>
                <c:pt idx="2">
                  <c:v>MIE</c:v>
                </c:pt>
                <c:pt idx="3">
                  <c:v>CIE</c:v>
                </c:pt>
                <c:pt idx="4">
                  <c:v>VQ</c:v>
                </c:pt>
                <c:pt idx="5">
                  <c:v>DRPE</c:v>
                </c:pt>
                <c:pt idx="6">
                  <c:v>SCAN</c:v>
                </c:pt>
              </c:strCache>
            </c:strRef>
          </c:cat>
          <c:val>
            <c:numRef>
              <c:f>AVERAGE!$F$3:$F$9</c:f>
              <c:numCache>
                <c:formatCode>General</c:formatCode>
                <c:ptCount val="7"/>
                <c:pt idx="0">
                  <c:v>96.969706217447921</c:v>
                </c:pt>
                <c:pt idx="1">
                  <c:v>32.603234185112804</c:v>
                </c:pt>
                <c:pt idx="2">
                  <c:v>98.358357747395829</c:v>
                </c:pt>
                <c:pt idx="3">
                  <c:v>73.687286376953125</c:v>
                </c:pt>
                <c:pt idx="4">
                  <c:v>98.129599889119461</c:v>
                </c:pt>
                <c:pt idx="5">
                  <c:v>99.485954920450851</c:v>
                </c:pt>
                <c:pt idx="6">
                  <c:v>97.4371337890625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0-4E48-9117-3470E7FEA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385425888"/>
        <c:axId val="1385412928"/>
      </c:barChart>
      <c:catAx>
        <c:axId val="1385425888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cap="all" baseline="0">
                    <a:effectLst/>
                  </a:rPr>
                  <a:t>Algorithms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385412928"/>
        <c:crosses val="autoZero"/>
        <c:auto val="1"/>
        <c:lblAlgn val="ctr"/>
        <c:lblOffset val="100"/>
        <c:noMultiLvlLbl val="0"/>
      </c:catAx>
      <c:valAx>
        <c:axId val="13854129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38542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UACI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ar-IQ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AVERAGE!$G$2</c:f>
              <c:strCache>
                <c:ptCount val="1"/>
                <c:pt idx="0">
                  <c:v>UACI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AVERAGE!$A$3:$A$9</c:f>
              <c:strCache>
                <c:ptCount val="7"/>
                <c:pt idx="0">
                  <c:v>IEDS</c:v>
                </c:pt>
                <c:pt idx="1">
                  <c:v>VC</c:v>
                </c:pt>
                <c:pt idx="2">
                  <c:v>MIE</c:v>
                </c:pt>
                <c:pt idx="3">
                  <c:v>CIE</c:v>
                </c:pt>
                <c:pt idx="4">
                  <c:v>VQ</c:v>
                </c:pt>
                <c:pt idx="5">
                  <c:v>DRPE</c:v>
                </c:pt>
                <c:pt idx="6">
                  <c:v>SCAN</c:v>
                </c:pt>
              </c:strCache>
            </c:strRef>
          </c:cat>
          <c:val>
            <c:numRef>
              <c:f>AVERAGE!$G$3:$G$9</c:f>
              <c:numCache>
                <c:formatCode>General</c:formatCode>
                <c:ptCount val="7"/>
                <c:pt idx="0">
                  <c:v>33.512500837736049</c:v>
                </c:pt>
                <c:pt idx="1">
                  <c:v>10.803673505263596</c:v>
                </c:pt>
                <c:pt idx="2">
                  <c:v>33.455781624985178</c:v>
                </c:pt>
                <c:pt idx="3">
                  <c:v>21.144480187906289</c:v>
                </c:pt>
                <c:pt idx="4">
                  <c:v>16.231486638387043</c:v>
                </c:pt>
                <c:pt idx="5">
                  <c:v>33.754838744798306</c:v>
                </c:pt>
                <c:pt idx="6">
                  <c:v>33.373413883783122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0-418A-A77B-57F5FCC54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385426848"/>
        <c:axId val="1385416768"/>
      </c:barChart>
      <c:catAx>
        <c:axId val="1385426848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cap="all" baseline="0">
                    <a:effectLst/>
                  </a:rPr>
                  <a:t>Algorithms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385416768"/>
        <c:crosses val="autoZero"/>
        <c:auto val="1"/>
        <c:lblAlgn val="ctr"/>
        <c:lblOffset val="100"/>
        <c:noMultiLvlLbl val="0"/>
      </c:catAx>
      <c:valAx>
        <c:axId val="13854167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IQ"/>
          </a:p>
        </c:txPr>
        <c:crossAx val="138542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IQ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</xdr:colOff>
      <xdr:row>1</xdr:row>
      <xdr:rowOff>19050</xdr:rowOff>
    </xdr:from>
    <xdr:to>
      <xdr:col>14</xdr:col>
      <xdr:colOff>204787</xdr:colOff>
      <xdr:row>15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A41988-CD2B-801A-4B8F-4E3514F46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328612</xdr:colOff>
      <xdr:row>17</xdr:row>
      <xdr:rowOff>171450</xdr:rowOff>
    </xdr:from>
    <xdr:to>
      <xdr:col>14</xdr:col>
      <xdr:colOff>519112</xdr:colOff>
      <xdr:row>33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2B563C-513A-5326-B24E-4C14AC99B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333374</xdr:colOff>
      <xdr:row>33</xdr:row>
      <xdr:rowOff>110727</xdr:rowOff>
    </xdr:from>
    <xdr:to>
      <xdr:col>14</xdr:col>
      <xdr:colOff>500062</xdr:colOff>
      <xdr:row>48</xdr:row>
      <xdr:rowOff>175020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8EA5D0-02B8-BD3D-8AA8-7BBB2A788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351234</xdr:colOff>
      <xdr:row>49</xdr:row>
      <xdr:rowOff>122634</xdr:rowOff>
    </xdr:from>
    <xdr:to>
      <xdr:col>14</xdr:col>
      <xdr:colOff>517922</xdr:colOff>
      <xdr:row>65</xdr:row>
      <xdr:rowOff>8334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EA67BE-CC12-0711-AA92-C85244EBC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208359</xdr:colOff>
      <xdr:row>0</xdr:row>
      <xdr:rowOff>182164</xdr:rowOff>
    </xdr:from>
    <xdr:to>
      <xdr:col>21</xdr:col>
      <xdr:colOff>636984</xdr:colOff>
      <xdr:row>15</xdr:row>
      <xdr:rowOff>127395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BC8F88-8574-593E-83A2-DC518924C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154780</xdr:colOff>
      <xdr:row>18</xdr:row>
      <xdr:rowOff>51196</xdr:rowOff>
    </xdr:from>
    <xdr:to>
      <xdr:col>21</xdr:col>
      <xdr:colOff>583405</xdr:colOff>
      <xdr:row>33</xdr:row>
      <xdr:rowOff>115490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7223A4-AD84-A969-19C8-F118274FD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113109</xdr:colOff>
      <xdr:row>34</xdr:row>
      <xdr:rowOff>110727</xdr:rowOff>
    </xdr:from>
    <xdr:to>
      <xdr:col>21</xdr:col>
      <xdr:colOff>541734</xdr:colOff>
      <xdr:row>49</xdr:row>
      <xdr:rowOff>175021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5106AAC-2C37-9821-6C71-45C10B99B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A627-73CA-4B90-9619-0C72156FB371}">
  <sheetPr>
    <tabColor rgb="FFC00000"/>
  </sheetPr>
  <dimension ref="A1:AF62"/>
  <sheetViews>
    <sheetView tabSelected="1" zoomScale="70" zoomScaleNormal="70" workbookViewId="0">
      <selection activeCell="H3" sqref="H3"/>
    </sheetView>
  </sheetViews>
  <sheetFormatPr defaultRowHeight="14.25" x14ac:dyDescent="0.2"/>
  <cols>
    <col min="1" max="1" width="9.5" bestFit="1" customWidth="1"/>
    <col min="2" max="4" width="11.875" bestFit="1" customWidth="1"/>
    <col min="5" max="5" width="12.5" bestFit="1" customWidth="1"/>
    <col min="6" max="7" width="11.875" bestFit="1" customWidth="1"/>
    <col min="12" max="12" width="12.5" bestFit="1" customWidth="1"/>
    <col min="26" max="26" width="4.25" bestFit="1" customWidth="1"/>
    <col min="27" max="27" width="9.375" bestFit="1" customWidth="1"/>
    <col min="28" max="28" width="7.375" bestFit="1" customWidth="1"/>
    <col min="29" max="29" width="7.5" bestFit="1" customWidth="1"/>
    <col min="30" max="30" width="7.375" bestFit="1" customWidth="1"/>
    <col min="31" max="31" width="7.875" bestFit="1" customWidth="1"/>
    <col min="32" max="32" width="7.375" bestFit="1" customWidth="1"/>
  </cols>
  <sheetData>
    <row r="1" spans="1:7" ht="15" x14ac:dyDescent="0.2">
      <c r="A1" s="52" t="s">
        <v>9</v>
      </c>
      <c r="B1" s="52"/>
      <c r="C1" s="52"/>
      <c r="D1" s="52"/>
      <c r="E1" s="52"/>
      <c r="F1" s="52"/>
      <c r="G1" s="52"/>
    </row>
    <row r="2" spans="1:7" ht="15" x14ac:dyDescent="0.2">
      <c r="A2" s="4" t="s">
        <v>17</v>
      </c>
      <c r="B2" s="4" t="s">
        <v>8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</row>
    <row r="3" spans="1:7" ht="15" x14ac:dyDescent="0.2">
      <c r="A3" s="4" t="s">
        <v>1</v>
      </c>
      <c r="B3" s="20">
        <v>7.1856409222357218</v>
      </c>
      <c r="C3" s="3">
        <v>0.29027958988755337</v>
      </c>
      <c r="D3" s="3">
        <v>5.3729789474680842</v>
      </c>
      <c r="E3" s="3">
        <v>8.4743625892856281E-3</v>
      </c>
      <c r="F3" s="20">
        <v>96.969706217447921</v>
      </c>
      <c r="G3" s="20">
        <v>33.512500837736049</v>
      </c>
    </row>
    <row r="4" spans="1:7" ht="15" x14ac:dyDescent="0.2">
      <c r="A4" s="4" t="s">
        <v>2</v>
      </c>
      <c r="B4" s="3">
        <v>7.2083429911810564</v>
      </c>
      <c r="C4" s="3">
        <v>0.2782268591576107</v>
      </c>
      <c r="D4" s="3">
        <v>5.560917661928328</v>
      </c>
      <c r="E4" s="10">
        <v>8.2176349764412591E-3</v>
      </c>
      <c r="F4" s="3">
        <v>32.603234185112804</v>
      </c>
      <c r="G4" s="3">
        <v>10.803673505263596</v>
      </c>
    </row>
    <row r="5" spans="1:7" ht="15" x14ac:dyDescent="0.2">
      <c r="A5" s="4" t="s">
        <v>3</v>
      </c>
      <c r="B5" s="3">
        <v>7.1730434426371561</v>
      </c>
      <c r="C5" s="3">
        <v>0.2898834896828294</v>
      </c>
      <c r="D5" s="20">
        <v>5.3787946861397229</v>
      </c>
      <c r="E5" s="20">
        <v>8.6611298434517772E-3</v>
      </c>
      <c r="F5" s="3">
        <v>98.358357747395829</v>
      </c>
      <c r="G5" s="3">
        <v>33.455781624985178</v>
      </c>
    </row>
    <row r="6" spans="1:7" ht="15" x14ac:dyDescent="0.2">
      <c r="A6" s="4" t="s">
        <v>4</v>
      </c>
      <c r="B6" s="11">
        <v>7.9972007743193485</v>
      </c>
      <c r="C6" s="40">
        <v>0.2902240427171941</v>
      </c>
      <c r="D6" s="40">
        <v>5.3712804759182218</v>
      </c>
      <c r="E6" s="40">
        <v>9.5338852067398359E-3</v>
      </c>
      <c r="F6" s="2">
        <v>73.687286376953125</v>
      </c>
      <c r="G6" s="40">
        <v>21.144480187906289</v>
      </c>
    </row>
    <row r="7" spans="1:7" ht="15" x14ac:dyDescent="0.2">
      <c r="A7" s="4" t="s">
        <v>5</v>
      </c>
      <c r="B7" s="2">
        <v>7.0384641183215262</v>
      </c>
      <c r="C7" s="2">
        <v>0.23652993387511173</v>
      </c>
      <c r="D7" s="40">
        <v>6.3103427283476936</v>
      </c>
      <c r="E7" s="2">
        <v>9.9047044516483006E-3</v>
      </c>
      <c r="F7" s="2">
        <v>98.129599889119461</v>
      </c>
      <c r="G7" s="2">
        <v>16.231486638387043</v>
      </c>
    </row>
    <row r="8" spans="1:7" ht="15" x14ac:dyDescent="0.2">
      <c r="A8" s="4" t="s">
        <v>6</v>
      </c>
      <c r="B8" s="2">
        <v>7.1122381914897597</v>
      </c>
      <c r="C8" s="11">
        <v>0.30059497546428565</v>
      </c>
      <c r="D8" s="11">
        <v>5.2208948586683874</v>
      </c>
      <c r="E8" s="2">
        <v>8.6737362832732326E-3</v>
      </c>
      <c r="F8" s="11">
        <v>99.485954920450851</v>
      </c>
      <c r="G8" s="11">
        <v>33.754838744798306</v>
      </c>
    </row>
    <row r="9" spans="1:7" ht="15.75" thickBot="1" x14ac:dyDescent="0.25">
      <c r="A9" s="60" t="s">
        <v>7</v>
      </c>
      <c r="B9" s="61">
        <v>7.2613609791079874</v>
      </c>
      <c r="C9" s="61">
        <v>0.28664358591297018</v>
      </c>
      <c r="D9" s="61">
        <v>5.4282262184871177</v>
      </c>
      <c r="E9" s="61">
        <v>8.4205029055356932E-3</v>
      </c>
      <c r="F9" s="61">
        <v>97.4371337890625</v>
      </c>
      <c r="G9" s="61">
        <v>33.373413883783122</v>
      </c>
    </row>
    <row r="10" spans="1:7" ht="15.75" thickBot="1" x14ac:dyDescent="0.3">
      <c r="A10" s="62" t="s">
        <v>18</v>
      </c>
      <c r="B10" s="63">
        <f>MAX(B3:B9)</f>
        <v>7.9972007743193485</v>
      </c>
      <c r="C10" s="63">
        <f>MAX(C3:C9)</f>
        <v>0.30059497546428565</v>
      </c>
      <c r="D10" s="63">
        <f>MIN(D3:D9)</f>
        <v>5.2208948586683874</v>
      </c>
      <c r="E10" s="63">
        <f>MIN(E3:E9)</f>
        <v>8.2176349764412591E-3</v>
      </c>
      <c r="F10" s="63">
        <f>MAX(F3:F9)</f>
        <v>99.485954920450851</v>
      </c>
      <c r="G10" s="64">
        <f t="shared" ref="G10" si="0">MAX(G3:G9)</f>
        <v>33.754838744798306</v>
      </c>
    </row>
    <row r="11" spans="1:7" x14ac:dyDescent="0.2">
      <c r="A11" s="55"/>
      <c r="B11" s="55"/>
      <c r="C11" s="55"/>
      <c r="D11" s="55"/>
      <c r="E11" s="55"/>
      <c r="F11" s="56"/>
      <c r="G11" s="56"/>
    </row>
    <row r="12" spans="1:7" x14ac:dyDescent="0.2">
      <c r="A12" s="55"/>
      <c r="B12" s="55"/>
      <c r="C12" s="55"/>
      <c r="D12" s="55"/>
      <c r="E12" s="55"/>
      <c r="F12" s="56"/>
      <c r="G12" s="56"/>
    </row>
    <row r="13" spans="1:7" x14ac:dyDescent="0.2">
      <c r="A13" s="57"/>
      <c r="B13" s="55"/>
      <c r="C13" s="55"/>
      <c r="D13" s="55"/>
      <c r="E13" s="55"/>
      <c r="F13" s="56"/>
      <c r="G13" s="56"/>
    </row>
    <row r="14" spans="1:7" x14ac:dyDescent="0.2">
      <c r="A14" s="55"/>
      <c r="B14" s="55"/>
      <c r="C14" s="55"/>
      <c r="D14" s="55"/>
      <c r="E14" s="55"/>
      <c r="F14" s="56"/>
      <c r="G14" s="56"/>
    </row>
    <row r="15" spans="1:7" x14ac:dyDescent="0.2">
      <c r="A15" s="55"/>
      <c r="B15" s="55"/>
      <c r="C15" s="55"/>
      <c r="D15" s="55"/>
      <c r="E15" s="55"/>
      <c r="F15" s="56"/>
      <c r="G15" s="56"/>
    </row>
    <row r="16" spans="1:7" x14ac:dyDescent="0.2">
      <c r="A16" s="55"/>
      <c r="B16" s="55"/>
      <c r="C16" s="55"/>
      <c r="D16" s="55"/>
      <c r="E16" s="55"/>
      <c r="F16" s="56"/>
      <c r="G16" s="56"/>
    </row>
    <row r="17" spans="1:32" ht="15" thickBot="1" x14ac:dyDescent="0.25">
      <c r="A17" s="55"/>
      <c r="B17" s="55"/>
      <c r="C17" s="55"/>
      <c r="D17" s="55"/>
      <c r="E17" s="55"/>
      <c r="F17" s="56"/>
      <c r="G17" s="56"/>
    </row>
    <row r="18" spans="1:32" ht="15" thickBot="1" x14ac:dyDescent="0.25">
      <c r="A18" s="55"/>
      <c r="B18" s="55"/>
      <c r="C18" s="37"/>
      <c r="D18" s="55"/>
      <c r="E18" s="55"/>
      <c r="F18" s="56"/>
      <c r="G18" s="56"/>
    </row>
    <row r="19" spans="1:32" ht="15" thickBot="1" x14ac:dyDescent="0.25">
      <c r="A19" s="55"/>
      <c r="B19" s="55"/>
      <c r="C19" s="55"/>
      <c r="D19" s="55"/>
      <c r="E19" s="55"/>
      <c r="F19" s="56"/>
      <c r="G19" s="56"/>
    </row>
    <row r="20" spans="1:32" ht="19.5" thickBot="1" x14ac:dyDescent="0.25">
      <c r="A20" s="55"/>
      <c r="B20" s="55"/>
      <c r="C20" s="55"/>
      <c r="D20" s="55"/>
      <c r="E20" s="55"/>
      <c r="F20" s="56"/>
      <c r="G20" s="56"/>
      <c r="Z20" s="50" t="s">
        <v>21</v>
      </c>
      <c r="AA20" s="50" t="s">
        <v>8</v>
      </c>
      <c r="AB20" s="50" t="s">
        <v>11</v>
      </c>
      <c r="AC20" s="50" t="s">
        <v>12</v>
      </c>
      <c r="AD20" s="50" t="s">
        <v>13</v>
      </c>
      <c r="AE20" s="50" t="s">
        <v>14</v>
      </c>
      <c r="AF20" s="50" t="s">
        <v>15</v>
      </c>
    </row>
    <row r="21" spans="1:32" ht="19.5" thickBot="1" x14ac:dyDescent="0.25">
      <c r="A21" s="55"/>
      <c r="B21" s="55"/>
      <c r="C21" s="55"/>
      <c r="D21" s="55"/>
      <c r="E21" s="55"/>
      <c r="F21" s="56"/>
      <c r="G21" s="56"/>
      <c r="Z21" s="51">
        <v>1</v>
      </c>
      <c r="AA21" s="51" t="s">
        <v>4</v>
      </c>
      <c r="AB21" s="51" t="s">
        <v>6</v>
      </c>
      <c r="AC21" s="51" t="s">
        <v>6</v>
      </c>
      <c r="AD21" s="51" t="s">
        <v>2</v>
      </c>
      <c r="AE21" s="51" t="s">
        <v>6</v>
      </c>
      <c r="AF21" s="51" t="s">
        <v>6</v>
      </c>
    </row>
    <row r="22" spans="1:32" ht="19.5" thickBot="1" x14ac:dyDescent="0.25">
      <c r="A22" s="55"/>
      <c r="B22" s="55"/>
      <c r="C22" s="55"/>
      <c r="D22" s="55"/>
      <c r="E22" s="55"/>
      <c r="F22" s="56"/>
      <c r="G22" s="56"/>
      <c r="Z22" s="51">
        <v>2</v>
      </c>
      <c r="AA22" s="51" t="s">
        <v>7</v>
      </c>
      <c r="AB22" s="51" t="s">
        <v>1</v>
      </c>
      <c r="AC22" s="51" t="s">
        <v>4</v>
      </c>
      <c r="AD22" s="51" t="s">
        <v>7</v>
      </c>
      <c r="AE22" s="51" t="s">
        <v>3</v>
      </c>
      <c r="AF22" s="51" t="s">
        <v>1</v>
      </c>
    </row>
    <row r="23" spans="1:32" ht="19.5" thickBot="1" x14ac:dyDescent="0.25">
      <c r="A23" s="55"/>
      <c r="B23" s="55"/>
      <c r="C23" s="55"/>
      <c r="D23" s="55"/>
      <c r="E23" s="55"/>
      <c r="F23" s="56"/>
      <c r="G23" s="56"/>
      <c r="Z23" s="51">
        <v>3</v>
      </c>
      <c r="AA23" s="51" t="s">
        <v>2</v>
      </c>
      <c r="AB23" s="51" t="s">
        <v>4</v>
      </c>
      <c r="AC23" s="51" t="s">
        <v>1</v>
      </c>
      <c r="AD23" s="51" t="s">
        <v>1</v>
      </c>
      <c r="AE23" s="51" t="s">
        <v>5</v>
      </c>
      <c r="AF23" s="51" t="s">
        <v>3</v>
      </c>
    </row>
    <row r="24" spans="1:32" ht="19.5" thickBot="1" x14ac:dyDescent="0.25">
      <c r="A24" s="55"/>
      <c r="B24" s="55"/>
      <c r="C24" s="55"/>
      <c r="D24" s="55"/>
      <c r="E24" s="55"/>
      <c r="F24" s="56"/>
      <c r="G24" s="56"/>
      <c r="Z24" s="51">
        <v>4</v>
      </c>
      <c r="AA24" s="51" t="s">
        <v>1</v>
      </c>
      <c r="AB24" s="51" t="s">
        <v>3</v>
      </c>
      <c r="AC24" s="51" t="s">
        <v>3</v>
      </c>
      <c r="AD24" s="51" t="s">
        <v>3</v>
      </c>
      <c r="AE24" s="51" t="s">
        <v>7</v>
      </c>
      <c r="AF24" s="51" t="s">
        <v>7</v>
      </c>
    </row>
    <row r="25" spans="1:32" ht="19.5" thickBot="1" x14ac:dyDescent="0.25">
      <c r="A25" s="55"/>
      <c r="B25" s="55"/>
      <c r="C25" s="55"/>
      <c r="D25" s="55"/>
      <c r="E25" s="55"/>
      <c r="F25" s="56"/>
      <c r="G25" s="56"/>
      <c r="Z25" s="51">
        <v>5</v>
      </c>
      <c r="AA25" s="51" t="s">
        <v>3</v>
      </c>
      <c r="AB25" s="51" t="s">
        <v>7</v>
      </c>
      <c r="AC25" s="51" t="s">
        <v>7</v>
      </c>
      <c r="AD25" s="51" t="s">
        <v>6</v>
      </c>
      <c r="AE25" s="51" t="s">
        <v>1</v>
      </c>
      <c r="AF25" s="51" t="s">
        <v>4</v>
      </c>
    </row>
    <row r="26" spans="1:32" ht="19.5" thickBot="1" x14ac:dyDescent="0.25">
      <c r="A26" s="55"/>
      <c r="B26" s="55"/>
      <c r="C26" s="55"/>
      <c r="D26" s="55"/>
      <c r="E26" s="55"/>
      <c r="F26" s="56"/>
      <c r="G26" s="56"/>
      <c r="Z26" s="51">
        <v>6</v>
      </c>
      <c r="AA26" s="51" t="s">
        <v>6</v>
      </c>
      <c r="AB26" s="51" t="s">
        <v>2</v>
      </c>
      <c r="AC26" s="51" t="s">
        <v>2</v>
      </c>
      <c r="AD26" s="51" t="s">
        <v>4</v>
      </c>
      <c r="AE26" s="51" t="s">
        <v>4</v>
      </c>
      <c r="AF26" s="51" t="s">
        <v>5</v>
      </c>
    </row>
    <row r="27" spans="1:32" ht="19.5" thickBot="1" x14ac:dyDescent="0.25">
      <c r="A27" s="55"/>
      <c r="B27" s="55"/>
      <c r="C27" s="55"/>
      <c r="D27" s="55"/>
      <c r="E27" s="55"/>
      <c r="F27" s="56"/>
      <c r="G27" s="56"/>
      <c r="Z27" s="51">
        <v>7</v>
      </c>
      <c r="AA27" s="51" t="s">
        <v>5</v>
      </c>
      <c r="AB27" s="51" t="s">
        <v>5</v>
      </c>
      <c r="AC27" s="51" t="s">
        <v>5</v>
      </c>
      <c r="AD27" s="51" t="s">
        <v>5</v>
      </c>
      <c r="AE27" s="51" t="s">
        <v>2</v>
      </c>
      <c r="AF27" s="51" t="s">
        <v>2</v>
      </c>
    </row>
    <row r="28" spans="1:32" x14ac:dyDescent="0.2">
      <c r="A28" s="55"/>
      <c r="B28" s="55"/>
      <c r="C28" s="55"/>
      <c r="D28" s="55"/>
      <c r="E28" s="55"/>
      <c r="F28" s="56"/>
      <c r="G28" s="56"/>
    </row>
    <row r="29" spans="1:32" x14ac:dyDescent="0.2">
      <c r="A29" s="55"/>
      <c r="B29" s="55"/>
      <c r="C29" s="55"/>
      <c r="D29" s="55"/>
      <c r="E29" s="55"/>
      <c r="F29" s="56"/>
      <c r="G29" s="56"/>
    </row>
    <row r="30" spans="1:32" x14ac:dyDescent="0.2">
      <c r="A30" s="55"/>
      <c r="B30" s="55"/>
      <c r="C30" s="55"/>
      <c r="D30" s="55"/>
      <c r="E30" s="55"/>
      <c r="F30" s="56"/>
      <c r="G30" s="56"/>
    </row>
    <row r="31" spans="1:32" x14ac:dyDescent="0.2">
      <c r="A31" s="55"/>
      <c r="B31" s="55"/>
      <c r="C31" s="55"/>
      <c r="D31" s="55"/>
      <c r="E31" s="55"/>
      <c r="F31" s="56"/>
      <c r="G31" s="56"/>
    </row>
    <row r="32" spans="1:32" x14ac:dyDescent="0.2">
      <c r="A32" s="55"/>
      <c r="B32" s="55"/>
      <c r="C32" s="55"/>
      <c r="D32" s="55"/>
      <c r="E32" s="55"/>
      <c r="F32" s="56"/>
      <c r="G32" s="56"/>
    </row>
    <row r="33" spans="1:7" x14ac:dyDescent="0.2">
      <c r="A33" s="58"/>
      <c r="B33" s="57"/>
      <c r="C33" s="57"/>
      <c r="D33" s="57"/>
      <c r="E33" s="57"/>
      <c r="F33" s="57"/>
      <c r="G33" s="57"/>
    </row>
    <row r="34" spans="1:7" x14ac:dyDescent="0.2">
      <c r="A34" s="57"/>
      <c r="B34" s="57"/>
      <c r="C34" s="57"/>
      <c r="D34" s="57"/>
      <c r="E34" s="57"/>
      <c r="F34" s="59"/>
      <c r="G34" s="59"/>
    </row>
    <row r="35" spans="1:7" x14ac:dyDescent="0.2">
      <c r="F35" s="9"/>
      <c r="G35" s="9"/>
    </row>
    <row r="36" spans="1:7" x14ac:dyDescent="0.2">
      <c r="A36" t="s">
        <v>9</v>
      </c>
      <c r="B36">
        <v>2.9548549651523501</v>
      </c>
      <c r="C36">
        <v>4.8891421597083408E-2</v>
      </c>
      <c r="D36">
        <v>13.187243981889223</v>
      </c>
      <c r="E36">
        <v>9.2858860523154049E-2</v>
      </c>
      <c r="F36" s="9">
        <v>70.578715006510421</v>
      </c>
      <c r="G36" s="9">
        <v>7.6283021565356304</v>
      </c>
    </row>
    <row r="37" spans="1:7" x14ac:dyDescent="0.2">
      <c r="F37" s="9"/>
      <c r="G37" s="9"/>
    </row>
    <row r="38" spans="1:7" x14ac:dyDescent="0.2">
      <c r="F38" s="9"/>
      <c r="G38" s="9"/>
    </row>
    <row r="39" spans="1:7" x14ac:dyDescent="0.2">
      <c r="F39" s="9"/>
      <c r="G39" s="9"/>
    </row>
    <row r="40" spans="1:7" x14ac:dyDescent="0.2">
      <c r="F40" s="9"/>
      <c r="G40" s="9"/>
    </row>
    <row r="41" spans="1:7" x14ac:dyDescent="0.2">
      <c r="F41" s="9"/>
      <c r="G41" s="9"/>
    </row>
    <row r="42" spans="1:7" x14ac:dyDescent="0.2">
      <c r="F42" s="9"/>
      <c r="G42" s="9"/>
    </row>
    <row r="43" spans="1:7" x14ac:dyDescent="0.2">
      <c r="F43" s="9"/>
      <c r="G43" s="9"/>
    </row>
    <row r="44" spans="1:7" x14ac:dyDescent="0.2">
      <c r="F44" s="9"/>
      <c r="G44" s="9"/>
    </row>
    <row r="45" spans="1:7" x14ac:dyDescent="0.2">
      <c r="F45" s="9"/>
      <c r="G45" s="9"/>
    </row>
    <row r="46" spans="1:7" x14ac:dyDescent="0.2">
      <c r="F46" s="9"/>
      <c r="G46" s="9"/>
    </row>
    <row r="47" spans="1:7" x14ac:dyDescent="0.2">
      <c r="F47" s="9"/>
      <c r="G47" s="9"/>
    </row>
    <row r="48" spans="1:7" x14ac:dyDescent="0.2">
      <c r="F48" s="9"/>
      <c r="G48" s="9"/>
    </row>
    <row r="49" spans="6:7" x14ac:dyDescent="0.2">
      <c r="F49" s="9"/>
      <c r="G49" s="9"/>
    </row>
    <row r="50" spans="6:7" x14ac:dyDescent="0.2">
      <c r="F50" s="9"/>
      <c r="G50" s="9"/>
    </row>
    <row r="51" spans="6:7" x14ac:dyDescent="0.2">
      <c r="F51" s="9"/>
      <c r="G51" s="9"/>
    </row>
    <row r="52" spans="6:7" x14ac:dyDescent="0.2">
      <c r="F52" s="9"/>
      <c r="G52" s="9"/>
    </row>
    <row r="53" spans="6:7" x14ac:dyDescent="0.2">
      <c r="F53" s="9"/>
      <c r="G53" s="9"/>
    </row>
    <row r="54" spans="6:7" x14ac:dyDescent="0.2">
      <c r="F54" s="9"/>
      <c r="G54" s="9"/>
    </row>
    <row r="55" spans="6:7" x14ac:dyDescent="0.2">
      <c r="F55" s="9"/>
      <c r="G55" s="9"/>
    </row>
    <row r="56" spans="6:7" x14ac:dyDescent="0.2">
      <c r="F56" s="9"/>
      <c r="G56" s="9"/>
    </row>
    <row r="57" spans="6:7" x14ac:dyDescent="0.2">
      <c r="F57" s="9"/>
      <c r="G57" s="9"/>
    </row>
    <row r="58" spans="6:7" x14ac:dyDescent="0.2">
      <c r="F58" s="9"/>
      <c r="G58" s="9"/>
    </row>
    <row r="59" spans="6:7" x14ac:dyDescent="0.2">
      <c r="F59" s="9"/>
      <c r="G59" s="9"/>
    </row>
    <row r="60" spans="6:7" x14ac:dyDescent="0.2">
      <c r="F60" s="9"/>
      <c r="G60" s="9"/>
    </row>
    <row r="61" spans="6:7" x14ac:dyDescent="0.2">
      <c r="F61" s="9"/>
      <c r="G61" s="9"/>
    </row>
    <row r="62" spans="6:7" x14ac:dyDescent="0.2">
      <c r="F62" s="9"/>
      <c r="G62" s="9"/>
    </row>
  </sheetData>
  <mergeCells count="1">
    <mergeCell ref="A1:G1"/>
  </mergeCells>
  <pageMargins left="0.25" right="0.25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6F2DA-5422-4916-9636-114A917DB720}">
  <sheetPr>
    <tabColor rgb="FF7030A0"/>
  </sheetPr>
  <dimension ref="A1:G36"/>
  <sheetViews>
    <sheetView zoomScaleNormal="100" workbookViewId="0">
      <selection activeCell="J13" sqref="J13"/>
    </sheetView>
  </sheetViews>
  <sheetFormatPr defaultRowHeight="14.25" x14ac:dyDescent="0.2"/>
  <cols>
    <col min="1" max="1" width="10.125" bestFit="1" customWidth="1"/>
    <col min="2" max="2" width="11.875" bestFit="1" customWidth="1"/>
    <col min="3" max="3" width="10.875" bestFit="1" customWidth="1"/>
    <col min="4" max="7" width="11.875" bestFit="1" customWidth="1"/>
  </cols>
  <sheetData>
    <row r="1" spans="1:7" x14ac:dyDescent="0.2">
      <c r="A1" s="53" t="s">
        <v>1</v>
      </c>
      <c r="B1" s="53"/>
      <c r="C1" s="53"/>
      <c r="D1" s="53"/>
      <c r="E1" s="53"/>
      <c r="F1" s="53"/>
      <c r="G1" s="53"/>
    </row>
    <row r="2" spans="1:7" x14ac:dyDescent="0.2">
      <c r="A2" s="41" t="s">
        <v>0</v>
      </c>
      <c r="B2" s="41" t="s">
        <v>8</v>
      </c>
      <c r="C2" s="41" t="s">
        <v>11</v>
      </c>
      <c r="D2" s="41" t="s">
        <v>12</v>
      </c>
      <c r="E2" s="41" t="s">
        <v>13</v>
      </c>
      <c r="F2" s="41" t="s">
        <v>14</v>
      </c>
      <c r="G2" s="41" t="s">
        <v>15</v>
      </c>
    </row>
    <row r="3" spans="1:7" ht="15" x14ac:dyDescent="0.25">
      <c r="A3" s="42">
        <v>1</v>
      </c>
      <c r="B3" s="42">
        <v>7.3005528227777798</v>
      </c>
      <c r="C3" s="42">
        <v>0.29406191569573598</v>
      </c>
      <c r="D3" s="42">
        <v>5.3156121783971102</v>
      </c>
      <c r="E3" s="42">
        <v>6.9286209703692102E-3</v>
      </c>
      <c r="F3" s="42">
        <v>98.382568359375</v>
      </c>
      <c r="G3" s="42">
        <v>33.539709951361203</v>
      </c>
    </row>
    <row r="4" spans="1:7" ht="15" x14ac:dyDescent="0.25">
      <c r="A4" s="42">
        <v>2</v>
      </c>
      <c r="B4" s="42">
        <v>7.17829662579895</v>
      </c>
      <c r="C4" s="42">
        <v>0.28981746968376099</v>
      </c>
      <c r="D4" s="42">
        <v>5.3787543957365296</v>
      </c>
      <c r="E4" s="42">
        <v>9.4912929058398997E-3</v>
      </c>
      <c r="F4" s="42">
        <v>98.4161376953125</v>
      </c>
      <c r="G4" s="42">
        <v>33.555567124308403</v>
      </c>
    </row>
    <row r="5" spans="1:7" ht="15" x14ac:dyDescent="0.25">
      <c r="A5" s="42">
        <v>3</v>
      </c>
      <c r="B5" s="42">
        <v>7.2609908622734398</v>
      </c>
      <c r="C5" s="42">
        <v>0.28632789151295501</v>
      </c>
      <c r="D5" s="42">
        <v>5.4313634481748103</v>
      </c>
      <c r="E5" s="42">
        <v>1.1709136300926E-2</v>
      </c>
      <c r="F5" s="42">
        <v>98.4649658203125</v>
      </c>
      <c r="G5" s="42">
        <v>33.453518736594098</v>
      </c>
    </row>
    <row r="6" spans="1:7" ht="15" x14ac:dyDescent="0.25">
      <c r="A6" s="42">
        <v>4</v>
      </c>
      <c r="B6" s="42">
        <v>7.2400396753405998</v>
      </c>
      <c r="C6" s="42">
        <v>0.28571332615460399</v>
      </c>
      <c r="D6" s="42">
        <v>5.4406950291289</v>
      </c>
      <c r="E6" s="42">
        <v>7.32342924905583E-3</v>
      </c>
      <c r="F6" s="42">
        <v>100</v>
      </c>
      <c r="G6" s="42">
        <v>33.538590973495801</v>
      </c>
    </row>
    <row r="7" spans="1:7" ht="15" x14ac:dyDescent="0.25">
      <c r="A7" s="42">
        <v>5</v>
      </c>
      <c r="B7" s="42">
        <v>7.19415319556499</v>
      </c>
      <c r="C7" s="42">
        <v>0.289001573960811</v>
      </c>
      <c r="D7" s="42">
        <v>5.39099791981746</v>
      </c>
      <c r="E7" s="42">
        <v>9.6905986355505496E-3</v>
      </c>
      <c r="F7" s="42">
        <v>95.637512207031307</v>
      </c>
      <c r="G7" s="42">
        <v>33.310463101255102</v>
      </c>
    </row>
    <row r="8" spans="1:7" ht="15" x14ac:dyDescent="0.25">
      <c r="A8" s="42">
        <v>6</v>
      </c>
      <c r="B8" s="42">
        <v>7.1510161269073498</v>
      </c>
      <c r="C8" s="42">
        <v>0.28858303705117899</v>
      </c>
      <c r="D8" s="42">
        <v>5.3972920037897802</v>
      </c>
      <c r="E8" s="42">
        <v>7.4696330565867603E-3</v>
      </c>
      <c r="F8" s="42">
        <v>100</v>
      </c>
      <c r="G8" s="42">
        <v>33.624895881201297</v>
      </c>
    </row>
    <row r="9" spans="1:7" ht="15" x14ac:dyDescent="0.25">
      <c r="A9" s="42">
        <v>7</v>
      </c>
      <c r="B9" s="42">
        <v>7.3004173732198998</v>
      </c>
      <c r="C9" s="42">
        <v>0.28423216952126301</v>
      </c>
      <c r="D9" s="42">
        <v>5.4632676998731498</v>
      </c>
      <c r="E9" s="42">
        <v>1.04814868938269E-2</v>
      </c>
      <c r="F9" s="42">
        <v>98.393249511718807</v>
      </c>
      <c r="G9" s="42">
        <v>33.400597665821998</v>
      </c>
    </row>
    <row r="10" spans="1:7" ht="15" x14ac:dyDescent="0.25">
      <c r="A10" s="42">
        <v>8</v>
      </c>
      <c r="B10" s="42">
        <v>7.2156836390477501</v>
      </c>
      <c r="C10" s="42">
        <v>0.28420834046700799</v>
      </c>
      <c r="D10" s="42">
        <v>5.4636318127960104</v>
      </c>
      <c r="E10" s="42">
        <v>7.1137846007798197E-3</v>
      </c>
      <c r="F10" s="42">
        <v>74.93896484375</v>
      </c>
      <c r="G10" s="42">
        <v>31.398877910544702</v>
      </c>
    </row>
    <row r="11" spans="1:7" ht="15" x14ac:dyDescent="0.25">
      <c r="A11" s="42">
        <v>9</v>
      </c>
      <c r="B11" s="42">
        <v>7.1619044487973698</v>
      </c>
      <c r="C11" s="42">
        <v>0.28937103940266401</v>
      </c>
      <c r="D11" s="42">
        <v>5.3854493574973104</v>
      </c>
      <c r="E11" s="42">
        <v>7.9341358036736295E-3</v>
      </c>
      <c r="F11" s="42">
        <v>98.377990722656307</v>
      </c>
      <c r="G11" s="42">
        <v>33.306591557519297</v>
      </c>
    </row>
    <row r="12" spans="1:7" ht="15" x14ac:dyDescent="0.25">
      <c r="A12" s="42">
        <v>10</v>
      </c>
      <c r="B12" s="42">
        <v>7.2229595498388504</v>
      </c>
      <c r="C12" s="42">
        <v>0.302498208837572</v>
      </c>
      <c r="D12" s="42">
        <v>5.1927719256279499</v>
      </c>
      <c r="E12" s="42">
        <v>9.1397332462546405E-3</v>
      </c>
      <c r="F12" s="42">
        <v>96.882629394531307</v>
      </c>
      <c r="G12" s="42">
        <v>33.436171587774297</v>
      </c>
    </row>
    <row r="13" spans="1:7" ht="15" x14ac:dyDescent="0.25">
      <c r="A13" s="42">
        <v>11</v>
      </c>
      <c r="B13" s="42">
        <v>7.1795262043488801</v>
      </c>
      <c r="C13" s="42">
        <v>0.305336522883702</v>
      </c>
      <c r="D13" s="42">
        <v>5.1522124438077803</v>
      </c>
      <c r="E13" s="42">
        <v>9.6831328333767501E-3</v>
      </c>
      <c r="F13" s="42">
        <v>93.678283691406307</v>
      </c>
      <c r="G13" s="42">
        <v>33.308799594056303</v>
      </c>
    </row>
    <row r="14" spans="1:7" ht="15" x14ac:dyDescent="0.25">
      <c r="A14" s="42">
        <v>12</v>
      </c>
      <c r="B14" s="42">
        <v>7.0495696958639602</v>
      </c>
      <c r="C14" s="42">
        <v>0.30189900434553402</v>
      </c>
      <c r="D14" s="42">
        <v>5.2013831926559</v>
      </c>
      <c r="E14" s="42">
        <v>9.8115990208805098E-3</v>
      </c>
      <c r="F14" s="42">
        <v>93.8079833984375</v>
      </c>
      <c r="G14" s="42">
        <v>33.486256318933698</v>
      </c>
    </row>
    <row r="15" spans="1:7" ht="15" x14ac:dyDescent="0.25">
      <c r="A15" s="42">
        <v>13</v>
      </c>
      <c r="B15" s="42">
        <v>7.1445247769910196</v>
      </c>
      <c r="C15" s="42">
        <v>0.29981733991658899</v>
      </c>
      <c r="D15" s="42">
        <v>5.2314325336792997</v>
      </c>
      <c r="E15" s="42">
        <v>8.7996593388796705E-3</v>
      </c>
      <c r="F15" s="42">
        <v>100</v>
      </c>
      <c r="G15" s="42">
        <v>33.514559876682199</v>
      </c>
    </row>
    <row r="16" spans="1:7" ht="15" x14ac:dyDescent="0.25">
      <c r="A16" s="42">
        <v>14</v>
      </c>
      <c r="B16" s="42">
        <v>7.2206613304812199</v>
      </c>
      <c r="C16" s="42">
        <v>0.29989666473494297</v>
      </c>
      <c r="D16" s="42">
        <v>5.2302836416800202</v>
      </c>
      <c r="E16" s="42">
        <v>6.1186350714204701E-3</v>
      </c>
      <c r="F16" s="42">
        <v>99.6795654296875</v>
      </c>
      <c r="G16" s="42">
        <v>33.420224657243097</v>
      </c>
    </row>
    <row r="17" spans="1:7" ht="15" x14ac:dyDescent="0.25">
      <c r="A17" s="42">
        <v>15</v>
      </c>
      <c r="B17" s="42">
        <v>7.0739793432158997</v>
      </c>
      <c r="C17" s="42">
        <v>0.288339405404472</v>
      </c>
      <c r="D17" s="42">
        <v>5.4009600145407903</v>
      </c>
      <c r="E17" s="42">
        <v>8.58755553661791E-3</v>
      </c>
      <c r="F17" s="42">
        <v>100</v>
      </c>
      <c r="G17" s="42">
        <v>33.508306765085997</v>
      </c>
    </row>
    <row r="18" spans="1:7" ht="15" x14ac:dyDescent="0.25">
      <c r="A18" s="42">
        <v>16</v>
      </c>
      <c r="B18" s="42">
        <v>7.2308911731596002</v>
      </c>
      <c r="C18" s="42">
        <v>0.29006192991615298</v>
      </c>
      <c r="D18" s="42">
        <v>5.3750926779263901</v>
      </c>
      <c r="E18" s="42">
        <v>9.3405793411231609E-3</v>
      </c>
      <c r="F18" s="42">
        <v>93.666076660156307</v>
      </c>
      <c r="G18" s="42">
        <v>33.269114774815897</v>
      </c>
    </row>
    <row r="19" spans="1:7" ht="15" x14ac:dyDescent="0.25">
      <c r="A19" s="42">
        <v>17</v>
      </c>
      <c r="B19" s="42">
        <v>7.2086731413736702</v>
      </c>
      <c r="C19" s="42">
        <v>0.288983467333778</v>
      </c>
      <c r="D19" s="42">
        <v>5.3912700240294296</v>
      </c>
      <c r="E19" s="42">
        <v>6.1402906512228999E-3</v>
      </c>
      <c r="F19" s="42">
        <v>100</v>
      </c>
      <c r="G19" s="42">
        <v>33.664161831722197</v>
      </c>
    </row>
    <row r="20" spans="1:7" ht="15" x14ac:dyDescent="0.25">
      <c r="A20" s="42">
        <v>18</v>
      </c>
      <c r="B20" s="42">
        <v>7.1171377408299499</v>
      </c>
      <c r="C20" s="42">
        <v>0.28797437034997098</v>
      </c>
      <c r="D20" s="42">
        <v>5.4064616262579399</v>
      </c>
      <c r="E20" s="42">
        <v>6.5196951649942603E-3</v>
      </c>
      <c r="F20" s="42">
        <v>98.490905761718807</v>
      </c>
      <c r="G20" s="42">
        <v>33.502825568701901</v>
      </c>
    </row>
    <row r="21" spans="1:7" ht="15" x14ac:dyDescent="0.25">
      <c r="A21" s="42">
        <v>19</v>
      </c>
      <c r="B21" s="42">
        <v>7.1304970873249003</v>
      </c>
      <c r="C21" s="42">
        <v>0.288143872323746</v>
      </c>
      <c r="D21" s="42">
        <v>5.4039061170393898</v>
      </c>
      <c r="E21" s="42">
        <v>8.6617087128441697E-3</v>
      </c>
      <c r="F21" s="42">
        <v>100</v>
      </c>
      <c r="G21" s="42">
        <v>33.595539167812802</v>
      </c>
    </row>
    <row r="22" spans="1:7" ht="15" x14ac:dyDescent="0.25">
      <c r="A22" s="42">
        <v>20</v>
      </c>
      <c r="B22" s="42">
        <v>7.1574890474216204</v>
      </c>
      <c r="C22" s="42">
        <v>0.28623245913906298</v>
      </c>
      <c r="D22" s="42">
        <v>5.4328111821547402</v>
      </c>
      <c r="E22" s="42">
        <v>9.0393198223667603E-3</v>
      </c>
      <c r="F22" s="42">
        <v>100</v>
      </c>
      <c r="G22" s="42">
        <v>37.715418198533101</v>
      </c>
    </row>
    <row r="23" spans="1:7" ht="15" x14ac:dyDescent="0.25">
      <c r="A23" s="42">
        <v>21</v>
      </c>
      <c r="B23" s="42">
        <v>7.1249816614582198</v>
      </c>
      <c r="C23" s="42">
        <v>0.286166842708859</v>
      </c>
      <c r="D23" s="42">
        <v>5.43380688056292</v>
      </c>
      <c r="E23" s="42">
        <v>5.38542070006366E-3</v>
      </c>
      <c r="F23" s="42">
        <v>100</v>
      </c>
      <c r="G23" s="42">
        <v>33.399353027340901</v>
      </c>
    </row>
    <row r="24" spans="1:7" ht="15" x14ac:dyDescent="0.25">
      <c r="A24" s="42">
        <v>22</v>
      </c>
      <c r="B24" s="42">
        <v>7.1459447110037901</v>
      </c>
      <c r="C24" s="42">
        <v>0.28754441486785398</v>
      </c>
      <c r="D24" s="42">
        <v>5.41295063523149</v>
      </c>
      <c r="E24" s="42">
        <v>7.7259001125112798E-3</v>
      </c>
      <c r="F24" s="42">
        <v>100</v>
      </c>
      <c r="G24" s="42">
        <v>33.668954886639703</v>
      </c>
    </row>
    <row r="25" spans="1:7" ht="15" x14ac:dyDescent="0.25">
      <c r="A25" s="42">
        <v>23</v>
      </c>
      <c r="B25" s="42">
        <v>7.21907204084133</v>
      </c>
      <c r="C25" s="42">
        <v>0.282026493669427</v>
      </c>
      <c r="D25" s="42">
        <v>5.4971009198568002</v>
      </c>
      <c r="E25" s="42">
        <v>9.2479420666291105E-3</v>
      </c>
      <c r="F25" s="42">
        <v>95.179748535156307</v>
      </c>
      <c r="G25" s="42">
        <v>33.4237491383264</v>
      </c>
    </row>
    <row r="26" spans="1:7" ht="15" x14ac:dyDescent="0.25">
      <c r="A26" s="42">
        <v>24</v>
      </c>
      <c r="B26" s="42">
        <v>7.30022376723793</v>
      </c>
      <c r="C26" s="42">
        <v>0.28369141094320699</v>
      </c>
      <c r="D26" s="42">
        <v>5.4715381272877801</v>
      </c>
      <c r="E26" s="42">
        <v>8.1007216356337695E-3</v>
      </c>
      <c r="F26" s="42">
        <v>88.4918212890625</v>
      </c>
      <c r="G26" s="42">
        <v>33.063581878065598</v>
      </c>
    </row>
    <row r="27" spans="1:7" ht="15" x14ac:dyDescent="0.25">
      <c r="A27" s="42">
        <v>25</v>
      </c>
      <c r="B27" s="42">
        <v>7.2228020800903101</v>
      </c>
      <c r="C27" s="42">
        <v>0.302216537105996</v>
      </c>
      <c r="D27" s="42">
        <v>5.1968177501559198</v>
      </c>
      <c r="E27" s="42">
        <v>7.2923565918262502E-3</v>
      </c>
      <c r="F27" s="42">
        <v>89.9688720703125</v>
      </c>
      <c r="G27" s="42">
        <v>33.0788047640945</v>
      </c>
    </row>
    <row r="28" spans="1:7" ht="15" x14ac:dyDescent="0.25">
      <c r="A28" s="42">
        <v>26</v>
      </c>
      <c r="B28" s="42">
        <v>7.1805519159364897</v>
      </c>
      <c r="C28" s="42">
        <v>0.28577696909129002</v>
      </c>
      <c r="D28" s="42">
        <v>5.4397277414405796</v>
      </c>
      <c r="E28" s="42">
        <v>9.1212876906746308E-3</v>
      </c>
      <c r="F28" s="42">
        <v>100</v>
      </c>
      <c r="G28" s="42">
        <v>33.5441978304966</v>
      </c>
    </row>
    <row r="29" spans="1:7" ht="15" x14ac:dyDescent="0.25">
      <c r="A29" s="42">
        <v>27</v>
      </c>
      <c r="B29" s="42">
        <v>7.1891716893716104</v>
      </c>
      <c r="C29" s="42">
        <v>0.28691910488153599</v>
      </c>
      <c r="D29" s="42">
        <v>5.4224053272861603</v>
      </c>
      <c r="E29" s="42">
        <v>9.0632085478891504E-3</v>
      </c>
      <c r="F29" s="42">
        <v>99.81689453125</v>
      </c>
      <c r="G29" s="42">
        <v>33.189152736287099</v>
      </c>
    </row>
    <row r="30" spans="1:7" ht="15" x14ac:dyDescent="0.25">
      <c r="A30" s="42">
        <v>28</v>
      </c>
      <c r="B30" s="42">
        <v>7.1461002927348298</v>
      </c>
      <c r="C30" s="42">
        <v>0.28372154414768402</v>
      </c>
      <c r="D30" s="42">
        <v>5.4710768517980002</v>
      </c>
      <c r="E30" s="42">
        <v>1.1457873995835499E-2</v>
      </c>
      <c r="F30" s="42">
        <v>98.4344482421875</v>
      </c>
      <c r="G30" s="42">
        <v>33.557948692169902</v>
      </c>
    </row>
    <row r="31" spans="1:7" ht="15" x14ac:dyDescent="0.25">
      <c r="A31" s="42">
        <v>29</v>
      </c>
      <c r="B31" s="42">
        <v>7.2424841201716097</v>
      </c>
      <c r="C31" s="42">
        <v>0.28153883638129001</v>
      </c>
      <c r="D31" s="42">
        <v>5.5046168868925403</v>
      </c>
      <c r="E31" s="42">
        <v>8.9590761806349999E-3</v>
      </c>
      <c r="F31" s="42">
        <v>98.382568359375</v>
      </c>
      <c r="G31" s="42">
        <v>33.412816664749798</v>
      </c>
    </row>
    <row r="32" spans="1:7" ht="15.75" thickBot="1" x14ac:dyDescent="0.3">
      <c r="A32" s="43">
        <v>30</v>
      </c>
      <c r="B32" s="43">
        <v>7.0589315276478404</v>
      </c>
      <c r="C32" s="43">
        <v>0.29828553419395498</v>
      </c>
      <c r="D32" s="43">
        <v>5.2536780789196902</v>
      </c>
      <c r="E32" s="43">
        <v>7.8930630002806892E-3</v>
      </c>
      <c r="F32" s="43">
        <v>100</v>
      </c>
      <c r="G32" s="43">
        <v>33.486274270447502</v>
      </c>
    </row>
    <row r="33" spans="1:7" ht="15" thickBot="1" x14ac:dyDescent="0.25">
      <c r="A33" s="44" t="s">
        <v>9</v>
      </c>
      <c r="B33" s="44">
        <f>AVERAGE(B3:B32)</f>
        <v>7.1856409222357218</v>
      </c>
      <c r="C33" s="44">
        <f t="shared" ref="C33:G33" si="0">AVERAGE(C3:C32)</f>
        <v>0.29027958988755337</v>
      </c>
      <c r="D33" s="44">
        <f t="shared" si="0"/>
        <v>5.3729789474680842</v>
      </c>
      <c r="E33" s="44">
        <f t="shared" si="0"/>
        <v>8.4743625892856281E-3</v>
      </c>
      <c r="F33" s="44">
        <f t="shared" si="0"/>
        <v>96.969706217447921</v>
      </c>
      <c r="G33" s="44">
        <f t="shared" si="0"/>
        <v>33.512500837736049</v>
      </c>
    </row>
    <row r="36" spans="1:7" x14ac:dyDescent="0.2">
      <c r="B36">
        <v>7.1856409222357218</v>
      </c>
      <c r="C36">
        <v>0.29027958988755337</v>
      </c>
      <c r="D36">
        <v>5.3729789474680842</v>
      </c>
      <c r="E36">
        <v>8.4743625892856281E-3</v>
      </c>
      <c r="F36">
        <v>96.969706217447921</v>
      </c>
      <c r="G36">
        <v>33.512500837736049</v>
      </c>
    </row>
  </sheetData>
  <mergeCells count="1">
    <mergeCell ref="A1:G1"/>
  </mergeCells>
  <pageMargins left="0.25" right="0.25" top="0.75" bottom="0.75" header="0.3" footer="0.3"/>
  <pageSetup paperSize="9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34B3-CE43-49B4-93D2-1E9BD7E750F9}">
  <sheetPr>
    <tabColor rgb="FF002060"/>
    <pageSetUpPr fitToPage="1"/>
  </sheetPr>
  <dimension ref="A1:G58"/>
  <sheetViews>
    <sheetView zoomScaleNormal="100" workbookViewId="0">
      <selection activeCell="I13" sqref="I13"/>
    </sheetView>
  </sheetViews>
  <sheetFormatPr defaultRowHeight="14.25" x14ac:dyDescent="0.2"/>
  <cols>
    <col min="1" max="1" width="7.5" bestFit="1" customWidth="1"/>
    <col min="2" max="6" width="11.875" bestFit="1" customWidth="1"/>
    <col min="7" max="7" width="8.75" bestFit="1" customWidth="1"/>
  </cols>
  <sheetData>
    <row r="1" spans="1:7" ht="15" x14ac:dyDescent="0.2">
      <c r="A1" s="52" t="s">
        <v>2</v>
      </c>
      <c r="B1" s="52"/>
      <c r="C1" s="52"/>
      <c r="D1" s="52"/>
      <c r="E1" s="52"/>
      <c r="F1" s="52"/>
      <c r="G1" s="52"/>
    </row>
    <row r="2" spans="1:7" ht="15" x14ac:dyDescent="0.2">
      <c r="A2" s="4" t="s">
        <v>0</v>
      </c>
      <c r="B2" s="4" t="s">
        <v>8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</row>
    <row r="3" spans="1:7" x14ac:dyDescent="0.2">
      <c r="A3" s="3">
        <v>1</v>
      </c>
      <c r="B3" s="3">
        <v>7.15900456117937</v>
      </c>
      <c r="C3" s="3">
        <v>0.28387446525600102</v>
      </c>
      <c r="D3" s="3">
        <v>5.4687367086674499</v>
      </c>
      <c r="E3" s="3">
        <v>7.9683288864445707E-3</v>
      </c>
      <c r="F3" s="3">
        <v>33.3333333333333</v>
      </c>
      <c r="G3" s="3">
        <v>13.3764748168149</v>
      </c>
    </row>
    <row r="4" spans="1:7" x14ac:dyDescent="0.2">
      <c r="A4" s="3">
        <v>2</v>
      </c>
      <c r="B4" s="3">
        <v>7.1994510588005802</v>
      </c>
      <c r="C4" s="3">
        <v>0.272629920952628</v>
      </c>
      <c r="D4" s="3">
        <v>5.6442648235488697</v>
      </c>
      <c r="E4" s="3">
        <v>6.7647174772513998E-3</v>
      </c>
      <c r="F4" s="3">
        <v>33.3333333333333</v>
      </c>
      <c r="G4" s="3">
        <v>8.9214270099316408</v>
      </c>
    </row>
    <row r="5" spans="1:7" x14ac:dyDescent="0.2">
      <c r="A5" s="3">
        <v>3</v>
      </c>
      <c r="B5" s="3">
        <v>7.2160661515865998</v>
      </c>
      <c r="C5" s="3">
        <v>0.26798812676527201</v>
      </c>
      <c r="D5" s="3">
        <v>5.7188444699565997</v>
      </c>
      <c r="E5" s="3">
        <v>7.1924311167641704E-3</v>
      </c>
      <c r="F5" s="3">
        <v>33.3333333333333</v>
      </c>
      <c r="G5" s="3">
        <v>9.3712401545905397</v>
      </c>
    </row>
    <row r="6" spans="1:7" x14ac:dyDescent="0.2">
      <c r="A6" s="3">
        <v>4</v>
      </c>
      <c r="B6" s="3">
        <v>7.24215385390292</v>
      </c>
      <c r="C6" s="3">
        <v>0.26931891422156801</v>
      </c>
      <c r="D6" s="3">
        <v>5.6973314508977397</v>
      </c>
      <c r="E6" s="3">
        <v>8.4983923193859799E-3</v>
      </c>
      <c r="F6" s="3">
        <v>4.9891153971354196</v>
      </c>
      <c r="G6" s="3">
        <v>1.7405072380514699</v>
      </c>
    </row>
    <row r="7" spans="1:7" x14ac:dyDescent="0.2">
      <c r="A7" s="3">
        <v>5</v>
      </c>
      <c r="B7" s="3">
        <v>7.2068027100289003</v>
      </c>
      <c r="C7" s="3">
        <v>0.27984295285880101</v>
      </c>
      <c r="D7" s="3">
        <v>5.53085625234191</v>
      </c>
      <c r="E7" s="3">
        <v>7.7738559464149599E-3</v>
      </c>
      <c r="F7" s="3">
        <v>33.3333333333333</v>
      </c>
      <c r="G7" s="3">
        <v>13.099307390599501</v>
      </c>
    </row>
    <row r="8" spans="1:7" x14ac:dyDescent="0.2">
      <c r="A8" s="3">
        <v>6</v>
      </c>
      <c r="B8" s="3">
        <v>7.1812248961847702</v>
      </c>
      <c r="C8" s="3">
        <v>0.26950271264232301</v>
      </c>
      <c r="D8" s="3">
        <v>5.6943685912413198</v>
      </c>
      <c r="E8" s="3">
        <v>8.7820653778859399E-3</v>
      </c>
      <c r="F8" s="3">
        <v>33.3333333333333</v>
      </c>
      <c r="G8" s="3">
        <v>16.444644304661999</v>
      </c>
    </row>
    <row r="9" spans="1:7" x14ac:dyDescent="0.2">
      <c r="A9" s="3">
        <v>7</v>
      </c>
      <c r="B9" s="3">
        <v>7.2080648756333003</v>
      </c>
      <c r="C9" s="3">
        <v>0.26693332263907898</v>
      </c>
      <c r="D9" s="3">
        <v>5.7359720764770996</v>
      </c>
      <c r="E9" s="3">
        <v>8.6757770792949204E-3</v>
      </c>
      <c r="F9" s="3">
        <v>33.3333333333333</v>
      </c>
      <c r="G9" s="3">
        <v>11.5027214499083</v>
      </c>
    </row>
    <row r="10" spans="1:7" x14ac:dyDescent="0.2">
      <c r="A10" s="3">
        <v>8</v>
      </c>
      <c r="B10" s="3">
        <v>7.2055689224761501</v>
      </c>
      <c r="C10" s="3">
        <v>0.267459164328198</v>
      </c>
      <c r="D10" s="3">
        <v>5.7274251667350899</v>
      </c>
      <c r="E10" s="3">
        <v>7.7107224394014299E-3</v>
      </c>
      <c r="F10" s="3">
        <v>33.3333333333333</v>
      </c>
      <c r="G10" s="3">
        <v>10.2157453150531</v>
      </c>
    </row>
    <row r="11" spans="1:7" x14ac:dyDescent="0.2">
      <c r="A11" s="3">
        <v>9</v>
      </c>
      <c r="B11" s="3">
        <v>7.20306948136147</v>
      </c>
      <c r="C11" s="3">
        <v>0.27239138745839903</v>
      </c>
      <c r="D11" s="3">
        <v>5.6480662817784202</v>
      </c>
      <c r="E11" s="3">
        <v>7.6586944272192502E-3</v>
      </c>
      <c r="F11" s="3">
        <v>33.3333333333333</v>
      </c>
      <c r="G11" s="3">
        <v>10.199772454554701</v>
      </c>
    </row>
    <row r="12" spans="1:7" x14ac:dyDescent="0.2">
      <c r="A12" s="3">
        <v>10</v>
      </c>
      <c r="B12" s="3">
        <v>7.4599857812991504</v>
      </c>
      <c r="C12" s="3">
        <v>0.30300455650946601</v>
      </c>
      <c r="D12" s="3">
        <v>5.1855084063288102</v>
      </c>
      <c r="E12" s="3">
        <v>9.1763284824086105E-3</v>
      </c>
      <c r="F12" s="3">
        <v>4.5257568359375</v>
      </c>
      <c r="G12" s="3">
        <v>0.140129538143382</v>
      </c>
    </row>
    <row r="13" spans="1:7" x14ac:dyDescent="0.2">
      <c r="A13" s="3">
        <v>11</v>
      </c>
      <c r="B13" s="3">
        <v>7.2482806447678696</v>
      </c>
      <c r="C13" s="3">
        <v>0.30770262662835501</v>
      </c>
      <c r="D13" s="3">
        <v>5.1186879648789496</v>
      </c>
      <c r="E13" s="3">
        <v>1.1179888933510801E-2</v>
      </c>
      <c r="F13" s="3">
        <v>100</v>
      </c>
      <c r="G13" s="3">
        <v>27.706137264473501</v>
      </c>
    </row>
    <row r="14" spans="1:7" x14ac:dyDescent="0.2">
      <c r="A14" s="3">
        <v>12</v>
      </c>
      <c r="B14" s="3">
        <v>7.2062537894380796</v>
      </c>
      <c r="C14" s="3">
        <v>0.292051069334686</v>
      </c>
      <c r="D14" s="3">
        <v>5.3454119926745403</v>
      </c>
      <c r="E14" s="3">
        <v>7.9387507477064606E-3</v>
      </c>
      <c r="F14" s="3">
        <v>33.3333333333333</v>
      </c>
      <c r="G14" s="3">
        <v>1.2684342128778601</v>
      </c>
    </row>
    <row r="15" spans="1:7" x14ac:dyDescent="0.2">
      <c r="A15" s="3">
        <v>13</v>
      </c>
      <c r="B15" s="3">
        <v>7.2427542418155397</v>
      </c>
      <c r="C15" s="3">
        <v>0.28877521112547899</v>
      </c>
      <c r="D15" s="3">
        <v>5.3944008995791899</v>
      </c>
      <c r="E15" s="3">
        <v>9.5186366281997808E-3</v>
      </c>
      <c r="F15" s="3">
        <v>33.3333333333333</v>
      </c>
      <c r="G15" s="3">
        <v>14.8215818716809</v>
      </c>
    </row>
    <row r="16" spans="1:7" x14ac:dyDescent="0.2">
      <c r="A16" s="3">
        <v>14</v>
      </c>
      <c r="B16" s="3">
        <v>7.2341944849834503</v>
      </c>
      <c r="C16" s="3">
        <v>0.30191344995827402</v>
      </c>
      <c r="D16" s="3">
        <v>5.2011753913805698</v>
      </c>
      <c r="E16" s="3">
        <v>6.7035345116749096E-3</v>
      </c>
      <c r="F16" s="3">
        <v>33.3333333333333</v>
      </c>
      <c r="G16" s="3">
        <v>16.732185712826698</v>
      </c>
    </row>
    <row r="17" spans="1:7" x14ac:dyDescent="0.2">
      <c r="A17" s="3">
        <v>15</v>
      </c>
      <c r="B17" s="3">
        <v>7.1748395755538201</v>
      </c>
      <c r="C17" s="3">
        <v>0.27174651423005403</v>
      </c>
      <c r="D17" s="3">
        <v>5.6583601802496899</v>
      </c>
      <c r="E17" s="3">
        <v>7.51017503183033E-3</v>
      </c>
      <c r="F17" s="3">
        <v>33.3333333333333</v>
      </c>
      <c r="G17" s="3">
        <v>15.9807950686789</v>
      </c>
    </row>
    <row r="18" spans="1:7" x14ac:dyDescent="0.2">
      <c r="A18" s="3">
        <v>16</v>
      </c>
      <c r="B18" s="3">
        <v>7.15511284666675</v>
      </c>
      <c r="C18" s="3">
        <v>0.29210039681690397</v>
      </c>
      <c r="D18" s="3">
        <v>5.3446785303920299</v>
      </c>
      <c r="E18" s="3">
        <v>9.1811161251999108E-3</v>
      </c>
      <c r="F18" s="3">
        <v>33.3333333333333</v>
      </c>
      <c r="G18" s="3">
        <v>12.338091283062701</v>
      </c>
    </row>
    <row r="19" spans="1:7" x14ac:dyDescent="0.2">
      <c r="A19" s="3">
        <v>17</v>
      </c>
      <c r="B19" s="3">
        <v>7.1729853149457696</v>
      </c>
      <c r="C19" s="3">
        <v>0.28136847437734303</v>
      </c>
      <c r="D19" s="3">
        <v>5.5072456422518599</v>
      </c>
      <c r="E19" s="3">
        <v>8.0183265373487498E-3</v>
      </c>
      <c r="F19" s="3">
        <v>33.3333333333333</v>
      </c>
      <c r="G19" s="3">
        <v>15.7486620136336</v>
      </c>
    </row>
    <row r="20" spans="1:7" x14ac:dyDescent="0.2">
      <c r="A20" s="3">
        <v>18</v>
      </c>
      <c r="B20" s="3">
        <v>7.1974103190274903</v>
      </c>
      <c r="C20" s="3">
        <v>0.27098504539332302</v>
      </c>
      <c r="D20" s="3">
        <v>5.6705467548118103</v>
      </c>
      <c r="E20" s="3">
        <v>9.8961947844477798E-3</v>
      </c>
      <c r="F20" s="3">
        <v>33.3333333333333</v>
      </c>
      <c r="G20" s="3">
        <v>9.2047119140625409</v>
      </c>
    </row>
    <row r="21" spans="1:7" x14ac:dyDescent="0.2">
      <c r="A21" s="3">
        <v>19</v>
      </c>
      <c r="B21" s="3">
        <v>7.1784849988274004</v>
      </c>
      <c r="C21" s="3">
        <v>0.26896146816090899</v>
      </c>
      <c r="D21" s="3">
        <v>5.7030993324561798</v>
      </c>
      <c r="E21" s="3">
        <v>8.0697561706991692E-3</v>
      </c>
      <c r="F21" s="3">
        <v>33.3333333333333</v>
      </c>
      <c r="G21" s="3">
        <v>7.0515631382761201</v>
      </c>
    </row>
    <row r="22" spans="1:7" x14ac:dyDescent="0.2">
      <c r="A22" s="3">
        <v>20</v>
      </c>
      <c r="B22" s="3">
        <v>7.1768105661956696</v>
      </c>
      <c r="C22" s="3">
        <v>0.27181322832314098</v>
      </c>
      <c r="D22" s="3">
        <v>5.6572941129761203</v>
      </c>
      <c r="E22" s="3">
        <v>7.3557254725347904E-3</v>
      </c>
      <c r="F22" s="3">
        <v>33.3333333333333</v>
      </c>
      <c r="G22" s="3">
        <v>15.6762495851205</v>
      </c>
    </row>
    <row r="23" spans="1:7" x14ac:dyDescent="0.2">
      <c r="A23" s="3">
        <v>21</v>
      </c>
      <c r="B23" s="3">
        <v>7.1864250007212798</v>
      </c>
      <c r="C23" s="3">
        <v>0.26646935094950502</v>
      </c>
      <c r="D23" s="3">
        <v>5.7435273590183398</v>
      </c>
      <c r="E23" s="3">
        <v>8.4463934639827203E-3</v>
      </c>
      <c r="F23" s="3">
        <v>33.3333333333333</v>
      </c>
      <c r="G23" s="3">
        <v>14.5873125861673</v>
      </c>
    </row>
    <row r="24" spans="1:7" x14ac:dyDescent="0.2">
      <c r="A24" s="3">
        <v>22</v>
      </c>
      <c r="B24" s="3">
        <v>7.1259214416899397</v>
      </c>
      <c r="C24" s="3">
        <v>0.27786029108270699</v>
      </c>
      <c r="D24" s="3">
        <v>5.5617351366116203</v>
      </c>
      <c r="E24" s="3">
        <v>8.1501687755550101E-3</v>
      </c>
      <c r="F24" s="3">
        <v>29.2007446289063</v>
      </c>
      <c r="G24" s="3">
        <v>6.4486674389807801</v>
      </c>
    </row>
    <row r="25" spans="1:7" ht="15" thickBot="1" x14ac:dyDescent="0.25">
      <c r="A25" s="3">
        <v>23</v>
      </c>
      <c r="B25" s="3">
        <v>7.2115106429987499</v>
      </c>
      <c r="C25" s="13">
        <v>0.26480997064305201</v>
      </c>
      <c r="D25" s="3">
        <v>5.7706566683907097</v>
      </c>
      <c r="E25" s="3">
        <v>8.6297782809566705E-3</v>
      </c>
      <c r="F25" s="3">
        <v>33.3333333333333</v>
      </c>
      <c r="G25" s="3">
        <v>2.0912539413551898</v>
      </c>
    </row>
    <row r="26" spans="1:7" ht="15" thickBot="1" x14ac:dyDescent="0.25">
      <c r="A26" s="3">
        <v>24</v>
      </c>
      <c r="B26" s="36">
        <v>7.2522831211814101</v>
      </c>
      <c r="C26" s="37">
        <v>0.26650876825594899</v>
      </c>
      <c r="D26" s="38">
        <v>5.7428849792246899</v>
      </c>
      <c r="E26" s="3">
        <v>7.0902771097748601E-3</v>
      </c>
      <c r="F26" s="3">
        <v>27.5441487630208</v>
      </c>
      <c r="G26" s="3">
        <v>9.2010677562040595</v>
      </c>
    </row>
    <row r="27" spans="1:7" x14ac:dyDescent="0.2">
      <c r="A27" s="3">
        <v>25</v>
      </c>
      <c r="B27" s="3">
        <v>7.2151488709164298</v>
      </c>
      <c r="C27" s="29">
        <v>0.30405534903880599</v>
      </c>
      <c r="D27" s="3">
        <v>5.1704735193687901</v>
      </c>
      <c r="E27" s="3">
        <v>7.7482826331305996E-3</v>
      </c>
      <c r="F27" s="3">
        <v>33.3333333333333</v>
      </c>
      <c r="G27" s="3">
        <v>13.152767006868</v>
      </c>
    </row>
    <row r="28" spans="1:7" x14ac:dyDescent="0.2">
      <c r="A28" s="3">
        <v>26</v>
      </c>
      <c r="B28" s="3">
        <v>7.1647482784449101</v>
      </c>
      <c r="C28" s="3">
        <v>0.26719898646754497</v>
      </c>
      <c r="D28" s="3">
        <v>5.73165193548241</v>
      </c>
      <c r="E28" s="3">
        <v>7.7534222327657696E-3</v>
      </c>
      <c r="F28" s="3">
        <v>33.3333333333333</v>
      </c>
      <c r="G28" s="3">
        <v>12.5494404711754</v>
      </c>
    </row>
    <row r="29" spans="1:7" x14ac:dyDescent="0.2">
      <c r="A29" s="3">
        <v>27</v>
      </c>
      <c r="B29" s="3">
        <v>7.1757220354724698</v>
      </c>
      <c r="C29" s="3">
        <v>0.26802482201169098</v>
      </c>
      <c r="D29" s="3">
        <v>5.7182498371928503</v>
      </c>
      <c r="E29" s="3">
        <v>7.4844612586127297E-3</v>
      </c>
      <c r="F29" s="3">
        <v>33.3333333333333</v>
      </c>
      <c r="G29" s="3">
        <v>12.1888124553208</v>
      </c>
    </row>
    <row r="30" spans="1:7" x14ac:dyDescent="0.2">
      <c r="A30" s="3">
        <v>28</v>
      </c>
      <c r="B30" s="3">
        <v>7.2069861545318004</v>
      </c>
      <c r="C30" s="3">
        <v>0.26812516348004201</v>
      </c>
      <c r="D30" s="3">
        <v>5.7166242567508503</v>
      </c>
      <c r="E30" s="3">
        <v>7.7807752993678302E-3</v>
      </c>
      <c r="F30" s="3">
        <v>33.3333333333333</v>
      </c>
      <c r="G30" s="3">
        <v>16.732113906760599</v>
      </c>
    </row>
    <row r="31" spans="1:7" x14ac:dyDescent="0.2">
      <c r="A31" s="3">
        <v>29</v>
      </c>
      <c r="B31" s="3">
        <v>7.2120355053901903</v>
      </c>
      <c r="C31" s="3">
        <v>0.26513498374961503</v>
      </c>
      <c r="D31" s="3">
        <v>5.7653296465838801</v>
      </c>
      <c r="E31" s="3">
        <v>9.07683049981735E-3</v>
      </c>
      <c r="F31" s="3">
        <v>33.3333333333333</v>
      </c>
      <c r="G31" s="3">
        <v>2.90724012586805</v>
      </c>
    </row>
    <row r="32" spans="1:7" ht="15" thickBot="1" x14ac:dyDescent="0.25">
      <c r="A32" s="13">
        <v>30</v>
      </c>
      <c r="B32" s="13">
        <v>7.2309896094094901</v>
      </c>
      <c r="C32" s="13">
        <v>0.29825508106920501</v>
      </c>
      <c r="D32" s="13">
        <v>5.2541214896014701</v>
      </c>
      <c r="E32" s="13">
        <v>8.7952412436503105E-3</v>
      </c>
      <c r="F32" s="13">
        <v>11.8372599283854</v>
      </c>
      <c r="G32" s="13">
        <v>2.71114773220487</v>
      </c>
    </row>
    <row r="33" spans="1:7" ht="15" thickBot="1" x14ac:dyDescent="0.25">
      <c r="A33" s="14" t="s">
        <v>16</v>
      </c>
      <c r="B33" s="21">
        <f>AVERAGE(B3:B32)</f>
        <v>7.2083429911810564</v>
      </c>
      <c r="C33" s="39">
        <f t="shared" ref="C33:G33" si="0">AVERAGE(C3:C32)</f>
        <v>0.2782268591576107</v>
      </c>
      <c r="D33" s="21">
        <f t="shared" si="0"/>
        <v>5.560917661928328</v>
      </c>
      <c r="E33" s="39">
        <f t="shared" si="0"/>
        <v>8.2176349764412591E-3</v>
      </c>
      <c r="F33" s="21">
        <f t="shared" si="0"/>
        <v>32.603234185112804</v>
      </c>
      <c r="G33" s="45">
        <f t="shared" si="0"/>
        <v>10.803673505263596</v>
      </c>
    </row>
    <row r="34" spans="1:7" x14ac:dyDescent="0.2">
      <c r="G34" s="9"/>
    </row>
    <row r="35" spans="1:7" x14ac:dyDescent="0.2">
      <c r="G35" s="9"/>
    </row>
    <row r="36" spans="1:7" x14ac:dyDescent="0.2">
      <c r="G36" s="9"/>
    </row>
    <row r="37" spans="1:7" x14ac:dyDescent="0.2">
      <c r="B37">
        <v>7.2083429911810564</v>
      </c>
      <c r="C37">
        <v>0.2782268591576107</v>
      </c>
      <c r="D37">
        <v>5.560917661928328</v>
      </c>
      <c r="E37">
        <v>8.2176349764412591E-3</v>
      </c>
      <c r="F37">
        <v>32.603234185112804</v>
      </c>
      <c r="G37" s="9">
        <v>10.803673505263596</v>
      </c>
    </row>
    <row r="38" spans="1:7" x14ac:dyDescent="0.2">
      <c r="G38" s="9"/>
    </row>
    <row r="39" spans="1:7" x14ac:dyDescent="0.2">
      <c r="G39" s="9"/>
    </row>
    <row r="40" spans="1:7" x14ac:dyDescent="0.2">
      <c r="G40" s="9"/>
    </row>
    <row r="41" spans="1:7" x14ac:dyDescent="0.2">
      <c r="G41" s="9"/>
    </row>
    <row r="42" spans="1:7" x14ac:dyDescent="0.2">
      <c r="G42" s="9"/>
    </row>
    <row r="43" spans="1:7" x14ac:dyDescent="0.2">
      <c r="G43" s="9"/>
    </row>
    <row r="44" spans="1:7" x14ac:dyDescent="0.2">
      <c r="G44" s="9"/>
    </row>
    <row r="45" spans="1:7" x14ac:dyDescent="0.2">
      <c r="G45" s="9"/>
    </row>
    <row r="46" spans="1:7" x14ac:dyDescent="0.2">
      <c r="G46" s="9"/>
    </row>
    <row r="47" spans="1:7" x14ac:dyDescent="0.2">
      <c r="G47" s="9"/>
    </row>
    <row r="48" spans="1:7" x14ac:dyDescent="0.2">
      <c r="G48" s="9"/>
    </row>
    <row r="49" spans="7:7" x14ac:dyDescent="0.2">
      <c r="G49" s="9"/>
    </row>
    <row r="50" spans="7:7" x14ac:dyDescent="0.2">
      <c r="G50" s="9"/>
    </row>
    <row r="51" spans="7:7" x14ac:dyDescent="0.2">
      <c r="G51" s="9"/>
    </row>
    <row r="52" spans="7:7" x14ac:dyDescent="0.2">
      <c r="G52" s="9"/>
    </row>
    <row r="53" spans="7:7" x14ac:dyDescent="0.2">
      <c r="G53" s="9"/>
    </row>
    <row r="54" spans="7:7" x14ac:dyDescent="0.2">
      <c r="G54" s="9"/>
    </row>
    <row r="55" spans="7:7" x14ac:dyDescent="0.2">
      <c r="G55" s="9"/>
    </row>
    <row r="56" spans="7:7" x14ac:dyDescent="0.2">
      <c r="G56" s="9"/>
    </row>
    <row r="57" spans="7:7" x14ac:dyDescent="0.2">
      <c r="G57" s="9"/>
    </row>
    <row r="58" spans="7:7" x14ac:dyDescent="0.2">
      <c r="G58" s="9"/>
    </row>
  </sheetData>
  <mergeCells count="1">
    <mergeCell ref="A1:G1"/>
  </mergeCells>
  <pageMargins left="0.25" right="0.25" top="0.75" bottom="0.75" header="0.3" footer="0.3"/>
  <pageSetup paperSize="9" fitToHeight="0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F5B8-351D-4787-AC2B-6A489DA11EA9}">
  <sheetPr>
    <tabColor rgb="FF0070C0"/>
  </sheetPr>
  <dimension ref="A1:G37"/>
  <sheetViews>
    <sheetView workbookViewId="0">
      <selection activeCell="H12" sqref="H12"/>
    </sheetView>
  </sheetViews>
  <sheetFormatPr defaultRowHeight="14.25" x14ac:dyDescent="0.2"/>
  <cols>
    <col min="1" max="1" width="9.5" bestFit="1" customWidth="1"/>
    <col min="2" max="7" width="11.875" bestFit="1" customWidth="1"/>
  </cols>
  <sheetData>
    <row r="1" spans="1:7" ht="15" x14ac:dyDescent="0.2">
      <c r="A1" s="52" t="s">
        <v>3</v>
      </c>
      <c r="B1" s="52"/>
      <c r="C1" s="52"/>
      <c r="D1" s="52"/>
      <c r="E1" s="52"/>
      <c r="F1" s="52"/>
      <c r="G1" s="52"/>
    </row>
    <row r="2" spans="1:7" ht="15" x14ac:dyDescent="0.2">
      <c r="A2" s="4" t="s">
        <v>0</v>
      </c>
      <c r="B2" s="4" t="s">
        <v>8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</row>
    <row r="3" spans="1:7" x14ac:dyDescent="0.2">
      <c r="A3" s="3">
        <v>1</v>
      </c>
      <c r="B3" s="3">
        <v>7.2366893786115902</v>
      </c>
      <c r="C3" s="3">
        <v>0.29226422079248399</v>
      </c>
      <c r="D3" s="3">
        <v>5.3422434804825496</v>
      </c>
      <c r="E3" s="3">
        <v>7.8382694812082192E-3</v>
      </c>
      <c r="F3" s="3">
        <v>98.564147949218807</v>
      </c>
      <c r="G3" s="3">
        <v>33.3622053557729</v>
      </c>
    </row>
    <row r="4" spans="1:7" x14ac:dyDescent="0.2">
      <c r="A4" s="3">
        <v>2</v>
      </c>
      <c r="B4" s="3">
        <v>7.1980868497838904</v>
      </c>
      <c r="C4" s="3">
        <v>0.28877728513184497</v>
      </c>
      <c r="D4" s="3">
        <v>5.3943697083186297</v>
      </c>
      <c r="E4" s="3">
        <v>6.5317860134638901E-3</v>
      </c>
      <c r="F4" s="3">
        <v>98.640441894531307</v>
      </c>
      <c r="G4" s="3">
        <v>33.355527391618402</v>
      </c>
    </row>
    <row r="5" spans="1:7" x14ac:dyDescent="0.2">
      <c r="A5" s="3">
        <v>3</v>
      </c>
      <c r="B5" s="3">
        <v>7.0644680409535701</v>
      </c>
      <c r="C5" s="3">
        <v>0.286465866634453</v>
      </c>
      <c r="D5" s="3">
        <v>5.4292711825307398</v>
      </c>
      <c r="E5" s="3">
        <v>7.6531636223710099E-3</v>
      </c>
      <c r="F5" s="3">
        <v>100</v>
      </c>
      <c r="G5" s="3">
        <v>33.309152640545499</v>
      </c>
    </row>
    <row r="6" spans="1:7" x14ac:dyDescent="0.2">
      <c r="A6" s="3">
        <v>4</v>
      </c>
      <c r="B6" s="3">
        <v>7.1617458880145897</v>
      </c>
      <c r="C6" s="3">
        <v>0.28607150185250302</v>
      </c>
      <c r="D6" s="3">
        <v>5.4352540400758</v>
      </c>
      <c r="E6" s="3">
        <v>9.10991990111624E-3</v>
      </c>
      <c r="F6" s="3">
        <v>96.846008300781307</v>
      </c>
      <c r="G6" s="3">
        <v>33.164433498007099</v>
      </c>
    </row>
    <row r="7" spans="1:7" x14ac:dyDescent="0.2">
      <c r="A7" s="3">
        <v>5</v>
      </c>
      <c r="B7" s="3">
        <v>7.2331248159753496</v>
      </c>
      <c r="C7" s="3">
        <v>0.28703577448614997</v>
      </c>
      <c r="D7" s="3">
        <v>5.4206397192912101</v>
      </c>
      <c r="E7" s="3">
        <v>1.03111415200152E-2</v>
      </c>
      <c r="F7" s="3">
        <v>99.6368408203125</v>
      </c>
      <c r="G7" s="3">
        <v>33.554172889856297</v>
      </c>
    </row>
    <row r="8" spans="1:7" x14ac:dyDescent="0.2">
      <c r="A8" s="3">
        <v>6</v>
      </c>
      <c r="B8" s="3">
        <v>7.1425349315606903</v>
      </c>
      <c r="C8" s="3">
        <v>0.287638744572776</v>
      </c>
      <c r="D8" s="3">
        <v>5.4115261543501401</v>
      </c>
      <c r="E8" s="3">
        <v>8.4457210864770493E-3</v>
      </c>
      <c r="F8" s="3">
        <v>100</v>
      </c>
      <c r="G8" s="3">
        <v>33.4477503159439</v>
      </c>
    </row>
    <row r="9" spans="1:7" x14ac:dyDescent="0.2">
      <c r="A9" s="3">
        <v>7</v>
      </c>
      <c r="B9" s="3">
        <v>7.2344008855785704</v>
      </c>
      <c r="C9" s="3">
        <v>0.28596603821809802</v>
      </c>
      <c r="D9" s="3">
        <v>5.4368554131247304</v>
      </c>
      <c r="E9" s="3">
        <v>8.8276926922124105E-3</v>
      </c>
      <c r="F9" s="3">
        <v>98.382568359375</v>
      </c>
      <c r="G9" s="3">
        <v>33.454033346735002</v>
      </c>
    </row>
    <row r="10" spans="1:7" x14ac:dyDescent="0.2">
      <c r="A10" s="3">
        <v>8</v>
      </c>
      <c r="B10" s="3">
        <v>7.1802455263610003</v>
      </c>
      <c r="C10" s="3">
        <v>0.28276356956308901</v>
      </c>
      <c r="D10" s="3">
        <v>5.4857654451050299</v>
      </c>
      <c r="E10" s="3">
        <v>8.9175828690102807E-3</v>
      </c>
      <c r="F10" s="3">
        <v>100</v>
      </c>
      <c r="G10" s="3">
        <v>34.635512408086797</v>
      </c>
    </row>
    <row r="11" spans="1:7" x14ac:dyDescent="0.2">
      <c r="A11" s="3">
        <v>9</v>
      </c>
      <c r="B11" s="3">
        <v>7.1897420503843898</v>
      </c>
      <c r="C11" s="3">
        <v>0.28879763041858902</v>
      </c>
      <c r="D11" s="3">
        <v>5.3940637446927502</v>
      </c>
      <c r="E11" s="3">
        <v>6.1728227758065099E-3</v>
      </c>
      <c r="F11" s="3">
        <v>98.431396484375</v>
      </c>
      <c r="G11" s="3">
        <v>33.448312796796301</v>
      </c>
    </row>
    <row r="12" spans="1:7" x14ac:dyDescent="0.2">
      <c r="A12" s="3">
        <v>10</v>
      </c>
      <c r="B12" s="3">
        <v>7.13740651157263</v>
      </c>
      <c r="C12" s="3">
        <v>0.29823186549531699</v>
      </c>
      <c r="D12" s="3">
        <v>5.2544595488230001</v>
      </c>
      <c r="E12" s="3">
        <v>1.11830917976174E-2</v>
      </c>
      <c r="F12" s="3">
        <v>99.867248535156307</v>
      </c>
      <c r="G12" s="3">
        <v>33.335499482993598</v>
      </c>
    </row>
    <row r="13" spans="1:7" x14ac:dyDescent="0.2">
      <c r="A13" s="3">
        <v>11</v>
      </c>
      <c r="B13" s="3">
        <v>7.2272220114500696</v>
      </c>
      <c r="C13" s="3">
        <v>0.30624427170627</v>
      </c>
      <c r="D13" s="3">
        <v>5.1393202602210497</v>
      </c>
      <c r="E13" s="3">
        <v>1.05689973869568E-2</v>
      </c>
      <c r="F13" s="3">
        <v>100</v>
      </c>
      <c r="G13" s="3">
        <v>33.434268727019301</v>
      </c>
    </row>
    <row r="14" spans="1:7" x14ac:dyDescent="0.2">
      <c r="A14" s="3">
        <v>12</v>
      </c>
      <c r="B14" s="3">
        <v>7.0584592093424696</v>
      </c>
      <c r="C14" s="3">
        <v>0.29908936532448499</v>
      </c>
      <c r="D14" s="3">
        <v>5.24199028837638</v>
      </c>
      <c r="E14" s="3">
        <v>8.22740714332767E-3</v>
      </c>
      <c r="F14" s="3">
        <v>96.759033203125</v>
      </c>
      <c r="G14" s="3">
        <v>33.415359796260901</v>
      </c>
    </row>
    <row r="15" spans="1:7" x14ac:dyDescent="0.2">
      <c r="A15" s="3">
        <v>13</v>
      </c>
      <c r="B15" s="3">
        <v>7.0436877017019102</v>
      </c>
      <c r="C15" s="3">
        <v>0.29845996028045102</v>
      </c>
      <c r="D15" s="3">
        <v>5.2511392314638297</v>
      </c>
      <c r="E15" s="3">
        <v>9.1822471948839902E-3</v>
      </c>
      <c r="F15" s="3">
        <v>98.9532470703125</v>
      </c>
      <c r="G15" s="3">
        <v>33.373484892001301</v>
      </c>
    </row>
    <row r="16" spans="1:7" x14ac:dyDescent="0.2">
      <c r="A16" s="3">
        <v>14</v>
      </c>
      <c r="B16" s="3">
        <v>7.2957692598586696</v>
      </c>
      <c r="C16" s="3">
        <v>0.29898795380495202</v>
      </c>
      <c r="D16" s="3">
        <v>5.2434630900475998</v>
      </c>
      <c r="E16" s="3">
        <v>9.2178246525773892E-3</v>
      </c>
      <c r="F16" s="3">
        <v>100</v>
      </c>
      <c r="G16" s="3">
        <v>33.416155646826198</v>
      </c>
    </row>
    <row r="17" spans="1:7" x14ac:dyDescent="0.2">
      <c r="A17" s="3">
        <v>15</v>
      </c>
      <c r="B17" s="3">
        <v>7.23294403302463</v>
      </c>
      <c r="C17" s="3">
        <v>0.28721259739343002</v>
      </c>
      <c r="D17" s="3">
        <v>5.4179651547963399</v>
      </c>
      <c r="E17" s="3">
        <v>8.9178111831392706E-3</v>
      </c>
      <c r="F17" s="3">
        <v>98.655700683593807</v>
      </c>
      <c r="G17" s="3">
        <v>33.423384124155298</v>
      </c>
    </row>
    <row r="18" spans="1:7" x14ac:dyDescent="0.2">
      <c r="A18" s="3">
        <v>16</v>
      </c>
      <c r="B18" s="3">
        <v>7.1718429502124001</v>
      </c>
      <c r="C18" s="3">
        <v>0.28918093800498901</v>
      </c>
      <c r="D18" s="3">
        <v>5.3883033790617301</v>
      </c>
      <c r="E18" s="3">
        <v>7.8525676879125598E-3</v>
      </c>
      <c r="F18" s="3">
        <v>100</v>
      </c>
      <c r="G18" s="3">
        <v>33.444082222729897</v>
      </c>
    </row>
    <row r="19" spans="1:7" x14ac:dyDescent="0.2">
      <c r="A19" s="3">
        <v>17</v>
      </c>
      <c r="B19" s="3">
        <v>7.1517315223633497</v>
      </c>
      <c r="C19" s="3">
        <v>0.28985255868010501</v>
      </c>
      <c r="D19" s="3">
        <v>5.3782286153179903</v>
      </c>
      <c r="E19" s="3">
        <v>1.00337569889175E-2</v>
      </c>
      <c r="F19" s="3">
        <v>98.457336425781307</v>
      </c>
      <c r="G19" s="3">
        <v>33.522943234909</v>
      </c>
    </row>
    <row r="20" spans="1:7" x14ac:dyDescent="0.2">
      <c r="A20" s="3">
        <v>18</v>
      </c>
      <c r="B20" s="3">
        <v>7.2017341128993202</v>
      </c>
      <c r="C20" s="3">
        <v>0.289081228476953</v>
      </c>
      <c r="D20" s="3">
        <v>5.3898010837624399</v>
      </c>
      <c r="E20" s="3">
        <v>1.08586331808108E-2</v>
      </c>
      <c r="F20" s="3">
        <v>99.4232177734375</v>
      </c>
      <c r="G20" s="3">
        <v>33.485101438033702</v>
      </c>
    </row>
    <row r="21" spans="1:7" x14ac:dyDescent="0.2">
      <c r="A21" s="3">
        <v>19</v>
      </c>
      <c r="B21" s="3">
        <v>7.1718712608746902</v>
      </c>
      <c r="C21" s="3">
        <v>0.28888842566936401</v>
      </c>
      <c r="D21" s="3">
        <v>5.3926985783951098</v>
      </c>
      <c r="E21" s="3">
        <v>9.3748343162306704E-3</v>
      </c>
      <c r="F21" s="3">
        <v>100</v>
      </c>
      <c r="G21" s="3">
        <v>33.510604559203898</v>
      </c>
    </row>
    <row r="22" spans="1:7" x14ac:dyDescent="0.2">
      <c r="A22" s="3">
        <v>20</v>
      </c>
      <c r="B22" s="3">
        <v>7.0767439436732804</v>
      </c>
      <c r="C22" s="3">
        <v>0.28673295868401</v>
      </c>
      <c r="D22" s="3">
        <v>5.4252238395651098</v>
      </c>
      <c r="E22" s="3">
        <v>9.6397709244183498E-3</v>
      </c>
      <c r="F22" s="3">
        <v>78.4942626953125</v>
      </c>
      <c r="G22" s="3">
        <v>32.251646752456701</v>
      </c>
    </row>
    <row r="23" spans="1:7" x14ac:dyDescent="0.2">
      <c r="A23" s="3">
        <v>21</v>
      </c>
      <c r="B23" s="3">
        <v>7.2676431062739502</v>
      </c>
      <c r="C23" s="3">
        <v>0.28573312186681499</v>
      </c>
      <c r="D23" s="3">
        <v>5.4403941376416398</v>
      </c>
      <c r="E23" s="3">
        <v>7.0352076752061999E-3</v>
      </c>
      <c r="F23" s="3">
        <v>98.9501953125</v>
      </c>
      <c r="G23" s="3">
        <v>33.568647796030099</v>
      </c>
    </row>
    <row r="24" spans="1:7" x14ac:dyDescent="0.2">
      <c r="A24" s="3">
        <v>22</v>
      </c>
      <c r="B24" s="3">
        <v>7.1812303584422796</v>
      </c>
      <c r="C24" s="3">
        <v>0.287594421457117</v>
      </c>
      <c r="D24" s="3">
        <v>5.4121954232910401</v>
      </c>
      <c r="E24" s="3">
        <v>9.9244406741568498E-3</v>
      </c>
      <c r="F24" s="3">
        <v>95.863342285156307</v>
      </c>
      <c r="G24" s="3">
        <v>33.551001455268597</v>
      </c>
    </row>
    <row r="25" spans="1:7" x14ac:dyDescent="0.2">
      <c r="A25" s="3">
        <v>23</v>
      </c>
      <c r="B25" s="3">
        <v>7.1374686270889702</v>
      </c>
      <c r="C25" s="3">
        <v>0.28451109995066498</v>
      </c>
      <c r="D25" s="3">
        <v>5.45900785320634</v>
      </c>
      <c r="E25" s="3">
        <v>6.7465317191766697E-3</v>
      </c>
      <c r="F25" s="3">
        <v>98.3001708984375</v>
      </c>
      <c r="G25" s="3">
        <v>33.381694718901102</v>
      </c>
    </row>
    <row r="26" spans="1:7" x14ac:dyDescent="0.2">
      <c r="A26" s="3">
        <v>24</v>
      </c>
      <c r="B26" s="3">
        <v>7.1348373566497001</v>
      </c>
      <c r="C26" s="3">
        <v>0.28129208727187299</v>
      </c>
      <c r="D26" s="3">
        <v>5.5084248433851899</v>
      </c>
      <c r="E26" s="3">
        <v>9.0081274866016595E-3</v>
      </c>
      <c r="F26" s="3">
        <v>100</v>
      </c>
      <c r="G26" s="3">
        <v>33.705049402570999</v>
      </c>
    </row>
    <row r="27" spans="1:7" x14ac:dyDescent="0.2">
      <c r="A27" s="3">
        <v>25</v>
      </c>
      <c r="B27" s="3">
        <v>7.2648198241145003</v>
      </c>
      <c r="C27" s="3">
        <v>0.30240183383306601</v>
      </c>
      <c r="D27" s="3">
        <v>5.1941557950295598</v>
      </c>
      <c r="E27" s="3">
        <v>8.2393088246425199E-3</v>
      </c>
      <c r="F27" s="3">
        <v>100</v>
      </c>
      <c r="G27" s="3">
        <v>33.782025505512202</v>
      </c>
    </row>
    <row r="28" spans="1:7" x14ac:dyDescent="0.2">
      <c r="A28" s="3">
        <v>26</v>
      </c>
      <c r="B28" s="3">
        <v>7.1840785899570099</v>
      </c>
      <c r="C28" s="3">
        <v>0.28438790936966901</v>
      </c>
      <c r="D28" s="3">
        <v>5.4608887139393998</v>
      </c>
      <c r="E28" s="3">
        <v>7.4550130114934198E-3</v>
      </c>
      <c r="F28" s="3">
        <v>99.629211425781307</v>
      </c>
      <c r="G28" s="3">
        <v>33.5366940965814</v>
      </c>
    </row>
    <row r="29" spans="1:7" x14ac:dyDescent="0.2">
      <c r="A29" s="3">
        <v>27</v>
      </c>
      <c r="B29" s="3">
        <v>7.2065576854794298</v>
      </c>
      <c r="C29" s="3">
        <v>0.28637730417687901</v>
      </c>
      <c r="D29" s="3">
        <v>5.4306140347770198</v>
      </c>
      <c r="E29" s="3">
        <v>7.83568899642576E-3</v>
      </c>
      <c r="F29" s="3">
        <v>98.606872558593807</v>
      </c>
      <c r="G29" s="3">
        <v>33.430768181293601</v>
      </c>
    </row>
    <row r="30" spans="1:7" x14ac:dyDescent="0.2">
      <c r="A30" s="3">
        <v>28</v>
      </c>
      <c r="B30" s="3">
        <v>7.1620049154376799</v>
      </c>
      <c r="C30" s="3">
        <v>0.28512275458207198</v>
      </c>
      <c r="D30" s="3">
        <v>5.4496812188699701</v>
      </c>
      <c r="E30" s="3">
        <v>9.9305665013228305E-3</v>
      </c>
      <c r="F30" s="3">
        <v>99.171447753906307</v>
      </c>
      <c r="G30" s="3">
        <v>33.4351842543633</v>
      </c>
    </row>
    <row r="31" spans="1:7" x14ac:dyDescent="0.2">
      <c r="A31" s="3">
        <v>29</v>
      </c>
      <c r="B31" s="3">
        <v>7.1941940310056598</v>
      </c>
      <c r="C31" s="3">
        <v>0.28193792041747801</v>
      </c>
      <c r="D31" s="3">
        <v>5.4984650795066301</v>
      </c>
      <c r="E31" s="3">
        <v>5.0624760750949396E-3</v>
      </c>
      <c r="F31" s="3">
        <v>99.1180419921875</v>
      </c>
      <c r="G31" s="3">
        <v>33.449174469590098</v>
      </c>
    </row>
    <row r="32" spans="1:7" x14ac:dyDescent="0.2">
      <c r="A32" s="3">
        <v>30</v>
      </c>
      <c r="B32" s="3">
        <v>7.0480179004684498</v>
      </c>
      <c r="C32" s="3">
        <v>0.29940348236893599</v>
      </c>
      <c r="D32" s="3">
        <v>5.23743152674274</v>
      </c>
      <c r="E32" s="3">
        <v>9.7314919209593106E-3</v>
      </c>
      <c r="F32" s="3">
        <v>100</v>
      </c>
      <c r="G32" s="3">
        <v>33.489577349491803</v>
      </c>
    </row>
    <row r="33" spans="1:7" x14ac:dyDescent="0.2">
      <c r="A33" s="2" t="s">
        <v>9</v>
      </c>
      <c r="B33" s="2">
        <f>AVERAGE(B3:B32)</f>
        <v>7.1730434426371561</v>
      </c>
      <c r="C33" s="2">
        <f t="shared" ref="C33:G33" si="0">AVERAGE(C3:C32)</f>
        <v>0.2898834896828294</v>
      </c>
      <c r="D33" s="2">
        <f t="shared" si="0"/>
        <v>5.3787946861397229</v>
      </c>
      <c r="E33" s="2">
        <f t="shared" si="0"/>
        <v>8.6611298434517772E-3</v>
      </c>
      <c r="F33" s="2">
        <f t="shared" si="0"/>
        <v>98.358357747395829</v>
      </c>
      <c r="G33" s="2">
        <f t="shared" si="0"/>
        <v>33.455781624985178</v>
      </c>
    </row>
    <row r="37" spans="1:7" x14ac:dyDescent="0.2">
      <c r="B37">
        <v>7.1730434426371561</v>
      </c>
      <c r="C37">
        <v>0.2898834896828294</v>
      </c>
      <c r="D37">
        <v>5.3787946861397229</v>
      </c>
      <c r="E37">
        <v>8.6611298434517772E-3</v>
      </c>
      <c r="F37">
        <v>98.358357747395829</v>
      </c>
      <c r="G37">
        <v>33.455781624985178</v>
      </c>
    </row>
  </sheetData>
  <mergeCells count="1">
    <mergeCell ref="A1:G1"/>
  </mergeCells>
  <pageMargins left="0.25" right="0.25" top="0.75" bottom="0.75" header="0.3" footer="0.3"/>
  <pageSetup paperSize="9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3ED6-F815-4EF1-B66D-AF0DEA3AD4D1}">
  <sheetPr>
    <tabColor rgb="FF00B0F0"/>
    <pageSetUpPr fitToPage="1"/>
  </sheetPr>
  <dimension ref="A1:H62"/>
  <sheetViews>
    <sheetView workbookViewId="0">
      <selection activeCell="I7" sqref="I7"/>
    </sheetView>
  </sheetViews>
  <sheetFormatPr defaultRowHeight="14.25" x14ac:dyDescent="0.2"/>
  <cols>
    <col min="1" max="1" width="9.5" bestFit="1" customWidth="1"/>
    <col min="2" max="4" width="11.875" bestFit="1" customWidth="1"/>
    <col min="5" max="5" width="12.5" bestFit="1" customWidth="1"/>
    <col min="6" max="6" width="11.875" bestFit="1" customWidth="1"/>
    <col min="7" max="7" width="12.25" bestFit="1" customWidth="1"/>
    <col min="11" max="11" width="11.875" bestFit="1" customWidth="1"/>
  </cols>
  <sheetData>
    <row r="1" spans="1:7" ht="15" x14ac:dyDescent="0.2">
      <c r="A1" s="52" t="s">
        <v>4</v>
      </c>
      <c r="B1" s="52"/>
      <c r="C1" s="52"/>
      <c r="D1" s="52"/>
      <c r="E1" s="52"/>
      <c r="F1" s="52"/>
      <c r="G1" s="52"/>
    </row>
    <row r="2" spans="1:7" ht="15" x14ac:dyDescent="0.2">
      <c r="A2" s="4" t="s">
        <v>0</v>
      </c>
      <c r="B2" s="4" t="s">
        <v>8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</row>
    <row r="3" spans="1:7" x14ac:dyDescent="0.2">
      <c r="A3" s="3">
        <v>1</v>
      </c>
      <c r="B3" s="3">
        <v>7.9971066888903799</v>
      </c>
      <c r="C3" s="3">
        <v>0.29446330409653099</v>
      </c>
      <c r="D3" s="3">
        <v>5.3529652804238701</v>
      </c>
      <c r="E3" s="3">
        <v>1.1434081671894801E-2</v>
      </c>
      <c r="F3" s="3">
        <v>100</v>
      </c>
      <c r="G3" s="3">
        <v>32.032811781936701</v>
      </c>
    </row>
    <row r="4" spans="1:7" x14ac:dyDescent="0.2">
      <c r="A4" s="3">
        <v>2</v>
      </c>
      <c r="B4" s="3">
        <v>7.9970155568954402</v>
      </c>
      <c r="C4" s="3">
        <v>0.28958779798109502</v>
      </c>
      <c r="D4" s="3">
        <v>5.3999943056947597</v>
      </c>
      <c r="E4" s="3">
        <v>1.34622321553575E-2</v>
      </c>
      <c r="F4" s="3">
        <v>49.261474609375</v>
      </c>
      <c r="G4" s="3">
        <v>0.81310197418825703</v>
      </c>
    </row>
    <row r="5" spans="1:7" x14ac:dyDescent="0.2">
      <c r="A5" s="3">
        <v>3</v>
      </c>
      <c r="B5" s="3">
        <v>7.9971095065369999</v>
      </c>
      <c r="C5" s="3">
        <v>0.28620837829425599</v>
      </c>
      <c r="D5" s="3">
        <v>5.4030776255910196</v>
      </c>
      <c r="E5" s="3">
        <v>8.6017504350979004E-3</v>
      </c>
      <c r="F5" s="3">
        <v>100</v>
      </c>
      <c r="G5" s="3">
        <v>36.442853142231002</v>
      </c>
    </row>
    <row r="6" spans="1:7" x14ac:dyDescent="0.2">
      <c r="A6" s="3">
        <v>4</v>
      </c>
      <c r="B6" s="3">
        <v>7.9972753060306099</v>
      </c>
      <c r="C6" s="3">
        <v>0.28573001097459499</v>
      </c>
      <c r="D6" s="3">
        <v>5.3976443474458504</v>
      </c>
      <c r="E6" s="3">
        <v>1.1514271708311799E-2</v>
      </c>
      <c r="F6" s="3">
        <v>100</v>
      </c>
      <c r="G6" s="3">
        <v>33.040035472193701</v>
      </c>
    </row>
    <row r="7" spans="1:7" x14ac:dyDescent="0.2">
      <c r="A7" s="3">
        <v>5</v>
      </c>
      <c r="B7" s="3">
        <v>7.9973882544192296</v>
      </c>
      <c r="C7" s="3">
        <v>0.28924494748113699</v>
      </c>
      <c r="D7" s="3">
        <v>5.3794978635274697</v>
      </c>
      <c r="E7" s="3">
        <v>8.0466554531704905E-3</v>
      </c>
      <c r="F7" s="3">
        <v>100</v>
      </c>
      <c r="G7" s="3">
        <v>29.408216289441501</v>
      </c>
    </row>
    <row r="8" spans="1:7" x14ac:dyDescent="0.2">
      <c r="A8" s="3">
        <v>6</v>
      </c>
      <c r="B8" s="3">
        <v>7.9969694090876002</v>
      </c>
      <c r="C8" s="3">
        <v>0.28715896483248599</v>
      </c>
      <c r="D8" s="3">
        <v>5.4332890032984604</v>
      </c>
      <c r="E8" s="3">
        <v>1.16618364442042E-2</v>
      </c>
      <c r="F8" s="3">
        <v>100</v>
      </c>
      <c r="G8" s="3">
        <v>35.806902717135003</v>
      </c>
    </row>
    <row r="9" spans="1:7" x14ac:dyDescent="0.2">
      <c r="A9" s="3">
        <v>7</v>
      </c>
      <c r="B9" s="3">
        <v>7.9973484702986601</v>
      </c>
      <c r="C9" s="3">
        <v>0.28505213401996798</v>
      </c>
      <c r="D9" s="3">
        <v>5.47193075223369</v>
      </c>
      <c r="E9" s="3">
        <v>1.0446152881976501E-2</v>
      </c>
      <c r="F9" s="3">
        <v>100</v>
      </c>
      <c r="G9" s="3">
        <v>7.8628420362281304</v>
      </c>
    </row>
    <row r="10" spans="1:7" x14ac:dyDescent="0.2">
      <c r="A10" s="3">
        <v>8</v>
      </c>
      <c r="B10" s="3">
        <v>7.9968201094855802</v>
      </c>
      <c r="C10" s="3">
        <v>0.28365084661698597</v>
      </c>
      <c r="D10" s="3">
        <v>5.44511314558663</v>
      </c>
      <c r="E10" s="3">
        <v>1.10874694453131E-2</v>
      </c>
      <c r="F10" s="3">
        <v>14.3768310546875</v>
      </c>
      <c r="G10" s="3">
        <v>0.22886388442095501</v>
      </c>
    </row>
    <row r="11" spans="1:7" x14ac:dyDescent="0.2">
      <c r="A11" s="3">
        <v>9</v>
      </c>
      <c r="B11" s="3">
        <v>7.9970965114217396</v>
      </c>
      <c r="C11" s="3">
        <v>0.29109336938091701</v>
      </c>
      <c r="D11" s="3">
        <v>5.3753857338072502</v>
      </c>
      <c r="E11" s="3">
        <v>9.28356815407054E-3</v>
      </c>
      <c r="F11" s="3">
        <v>100</v>
      </c>
      <c r="G11" s="3">
        <v>31.2369372797918</v>
      </c>
    </row>
    <row r="12" spans="1:7" x14ac:dyDescent="0.2">
      <c r="A12" s="3">
        <v>10</v>
      </c>
      <c r="B12" s="3">
        <v>7.99738185796698</v>
      </c>
      <c r="C12" s="3">
        <v>0.30174129851274201</v>
      </c>
      <c r="D12" s="3">
        <v>5.2032634934515301</v>
      </c>
      <c r="E12" s="3">
        <v>1.03138145866205E-2</v>
      </c>
      <c r="F12" s="3">
        <v>100</v>
      </c>
      <c r="G12" s="3">
        <v>36.299935135184001</v>
      </c>
    </row>
    <row r="13" spans="1:7" x14ac:dyDescent="0.2">
      <c r="A13" s="3">
        <v>11</v>
      </c>
      <c r="B13" s="3">
        <v>7.9976101565108797</v>
      </c>
      <c r="C13" s="3">
        <v>0.30578123075785202</v>
      </c>
      <c r="D13" s="3">
        <v>5.1466035274445199</v>
      </c>
      <c r="E13" s="3">
        <v>1.0870962475215899E-2</v>
      </c>
      <c r="F13" s="3">
        <v>100</v>
      </c>
      <c r="G13" s="3">
        <v>19.4884236653626</v>
      </c>
    </row>
    <row r="14" spans="1:7" x14ac:dyDescent="0.2">
      <c r="A14" s="3">
        <v>12</v>
      </c>
      <c r="B14" s="3">
        <v>7.9971367571576399</v>
      </c>
      <c r="C14" s="3">
        <v>0.29822011487844202</v>
      </c>
      <c r="D14" s="3">
        <v>5.1765014770099498</v>
      </c>
      <c r="E14" s="3">
        <v>7.8596330850154005E-3</v>
      </c>
      <c r="F14" s="3">
        <v>100</v>
      </c>
      <c r="G14" s="3">
        <v>37.256870643762603</v>
      </c>
    </row>
    <row r="15" spans="1:7" x14ac:dyDescent="0.2">
      <c r="A15" s="3">
        <v>13</v>
      </c>
      <c r="B15" s="3">
        <v>7.9972655568536304</v>
      </c>
      <c r="C15" s="3">
        <v>0.29957848900513001</v>
      </c>
      <c r="D15" s="3">
        <v>5.2748465515443703</v>
      </c>
      <c r="E15" s="3">
        <v>9.6893410446552905E-3</v>
      </c>
      <c r="F15" s="3">
        <v>1.52587890625E-3</v>
      </c>
      <c r="G15" s="8">
        <v>5.9838388480392198E-6</v>
      </c>
    </row>
    <row r="16" spans="1:7" x14ac:dyDescent="0.2">
      <c r="A16" s="3">
        <v>14</v>
      </c>
      <c r="B16" s="3">
        <v>7.9969320300948903</v>
      </c>
      <c r="C16" s="3">
        <v>0.3011099406253</v>
      </c>
      <c r="D16" s="3">
        <v>5.2030033492360896</v>
      </c>
      <c r="E16" s="3">
        <v>7.6111166256350197E-3</v>
      </c>
      <c r="F16" s="3">
        <v>100</v>
      </c>
      <c r="G16" s="3">
        <v>38.866702809050302</v>
      </c>
    </row>
    <row r="17" spans="1:8" x14ac:dyDescent="0.2">
      <c r="A17" s="3">
        <v>15</v>
      </c>
      <c r="B17" s="3">
        <v>7.9975667674104498</v>
      </c>
      <c r="C17" s="3">
        <v>0.29025615101087898</v>
      </c>
      <c r="D17" s="3">
        <v>5.3865496968752096</v>
      </c>
      <c r="E17" s="3">
        <v>7.8333998476678799E-3</v>
      </c>
      <c r="F17" s="3">
        <v>5.13763427734375</v>
      </c>
      <c r="G17" s="3">
        <v>0.16220391965379899</v>
      </c>
    </row>
    <row r="18" spans="1:8" x14ac:dyDescent="0.2">
      <c r="A18" s="3">
        <v>16</v>
      </c>
      <c r="B18" s="3">
        <v>7.9971209622768402</v>
      </c>
      <c r="C18" s="3">
        <v>0.29268333027336202</v>
      </c>
      <c r="D18" s="3">
        <v>5.3780120044660498</v>
      </c>
      <c r="E18" s="3">
        <v>1.04628515108231E-2</v>
      </c>
      <c r="F18" s="3">
        <v>1.52587890625E-3</v>
      </c>
      <c r="G18" s="8">
        <v>5.9838388480392198E-6</v>
      </c>
    </row>
    <row r="19" spans="1:8" x14ac:dyDescent="0.2">
      <c r="A19" s="3">
        <v>17</v>
      </c>
      <c r="B19" s="3">
        <v>7.9972919930893998</v>
      </c>
      <c r="C19" s="3">
        <v>0.28852529112901298</v>
      </c>
      <c r="D19" s="3">
        <v>5.3792959284476902</v>
      </c>
      <c r="E19" s="3">
        <v>8.2974929299228506E-3</v>
      </c>
      <c r="F19" s="3">
        <v>1.52587890625E-3</v>
      </c>
      <c r="G19" s="8">
        <v>5.9838388480392198E-6</v>
      </c>
    </row>
    <row r="20" spans="1:8" x14ac:dyDescent="0.2">
      <c r="A20" s="3">
        <v>18</v>
      </c>
      <c r="B20" s="3">
        <v>7.9969883494360801</v>
      </c>
      <c r="C20" s="3">
        <v>0.28665688930864902</v>
      </c>
      <c r="D20" s="3">
        <v>5.3451715565426996</v>
      </c>
      <c r="E20" s="3">
        <v>1.0216604007097301E-2</v>
      </c>
      <c r="F20" s="3">
        <v>37.3443603515625</v>
      </c>
      <c r="G20" s="3">
        <v>2.25298114851442</v>
      </c>
    </row>
    <row r="21" spans="1:8" x14ac:dyDescent="0.2">
      <c r="A21" s="3">
        <v>19</v>
      </c>
      <c r="B21" s="3">
        <v>7.9974994239263397</v>
      </c>
      <c r="C21" s="3">
        <v>0.28643081706104601</v>
      </c>
      <c r="D21" s="3">
        <v>5.4171884087711097</v>
      </c>
      <c r="E21" s="3">
        <v>9.3097596531964005E-3</v>
      </c>
      <c r="F21" s="3">
        <v>100</v>
      </c>
      <c r="G21" s="3">
        <v>37.876042384724499</v>
      </c>
    </row>
    <row r="22" spans="1:8" x14ac:dyDescent="0.2">
      <c r="A22" s="3">
        <v>20</v>
      </c>
      <c r="B22" s="3">
        <v>7.99747806296108</v>
      </c>
      <c r="C22" s="3">
        <v>0.28756438845260801</v>
      </c>
      <c r="D22" s="3">
        <v>5.4287226961621897</v>
      </c>
      <c r="E22" s="3">
        <v>9.7469953951648605E-3</v>
      </c>
      <c r="F22" s="3">
        <v>1.52587890625E-3</v>
      </c>
      <c r="G22" s="8">
        <v>5.9838388480392198E-6</v>
      </c>
    </row>
    <row r="23" spans="1:8" x14ac:dyDescent="0.2">
      <c r="A23" s="3">
        <v>21</v>
      </c>
      <c r="B23" s="3">
        <v>7.9972398208616804</v>
      </c>
      <c r="C23" s="3">
        <v>0.285079188950013</v>
      </c>
      <c r="D23" s="3">
        <v>5.4455573163752202</v>
      </c>
      <c r="E23" s="3">
        <v>8.8299296928936802E-3</v>
      </c>
      <c r="F23" s="3">
        <v>100</v>
      </c>
      <c r="G23" s="3">
        <v>34.750025132120399</v>
      </c>
    </row>
    <row r="24" spans="1:8" x14ac:dyDescent="0.2">
      <c r="A24" s="3">
        <v>22</v>
      </c>
      <c r="B24" s="3">
        <v>7.9967189657671698</v>
      </c>
      <c r="C24" s="3">
        <v>0.28920184647656599</v>
      </c>
      <c r="D24" s="3">
        <v>5.3849293721401796</v>
      </c>
      <c r="E24" s="3">
        <v>6.67151295984569E-3</v>
      </c>
      <c r="F24" s="3">
        <v>100</v>
      </c>
      <c r="G24" s="3">
        <v>32.132239248235798</v>
      </c>
    </row>
    <row r="25" spans="1:8" x14ac:dyDescent="0.2">
      <c r="A25" s="3">
        <v>23</v>
      </c>
      <c r="B25" s="3">
        <v>7.9973948957840904</v>
      </c>
      <c r="C25" s="3">
        <v>0.28313231483233597</v>
      </c>
      <c r="D25" s="3">
        <v>5.46928185254969</v>
      </c>
      <c r="E25" s="3">
        <v>7.4443120812112198E-3</v>
      </c>
      <c r="F25" s="3">
        <v>100</v>
      </c>
      <c r="G25" s="3">
        <v>17.3251941157293</v>
      </c>
    </row>
    <row r="26" spans="1:8" x14ac:dyDescent="0.2">
      <c r="A26" s="3">
        <v>24</v>
      </c>
      <c r="B26" s="3">
        <v>7.9976065137863701</v>
      </c>
      <c r="C26" s="3">
        <v>0.28248210808718399</v>
      </c>
      <c r="D26" s="3">
        <v>5.51756689468918</v>
      </c>
      <c r="E26" s="3">
        <v>1.15379793088337E-2</v>
      </c>
      <c r="F26" s="3">
        <v>100</v>
      </c>
      <c r="G26" s="3">
        <v>30.3570616478986</v>
      </c>
    </row>
    <row r="27" spans="1:8" x14ac:dyDescent="0.2">
      <c r="A27" s="3">
        <v>25</v>
      </c>
      <c r="B27" s="3">
        <v>7.9970316070816798</v>
      </c>
      <c r="C27" s="3">
        <v>0.30171661224423901</v>
      </c>
      <c r="D27" s="3">
        <v>5.2458139931893202</v>
      </c>
      <c r="E27" s="3">
        <v>1.09842667423787E-2</v>
      </c>
      <c r="F27" s="3">
        <v>100</v>
      </c>
      <c r="G27" s="3">
        <v>34.943877575437902</v>
      </c>
    </row>
    <row r="28" spans="1:8" x14ac:dyDescent="0.2">
      <c r="A28" s="3">
        <v>26</v>
      </c>
      <c r="B28" s="3">
        <v>7.9971379492815302</v>
      </c>
      <c r="C28" s="3">
        <v>0.28383627850841597</v>
      </c>
      <c r="D28" s="3">
        <v>5.44173013748172</v>
      </c>
      <c r="E28" s="3">
        <v>6.84988380061341E-3</v>
      </c>
      <c r="F28" s="3">
        <v>100</v>
      </c>
      <c r="G28" s="3">
        <v>35.502947639010799</v>
      </c>
    </row>
    <row r="29" spans="1:8" x14ac:dyDescent="0.2">
      <c r="A29" s="3">
        <v>27</v>
      </c>
      <c r="B29" s="3">
        <v>7.9974762443769798</v>
      </c>
      <c r="C29" s="3">
        <v>0.28496536319414401</v>
      </c>
      <c r="D29" s="3">
        <v>5.4217116052733303</v>
      </c>
      <c r="E29" s="3">
        <v>9.0384131520114003E-3</v>
      </c>
      <c r="F29" s="3">
        <v>52.349853515625</v>
      </c>
      <c r="G29" s="3">
        <v>0.85089590035248297</v>
      </c>
    </row>
    <row r="30" spans="1:8" x14ac:dyDescent="0.2">
      <c r="A30" s="3">
        <v>28</v>
      </c>
      <c r="B30" s="3">
        <v>7.9965586696879498</v>
      </c>
      <c r="C30" s="3">
        <v>0.28400429203161098</v>
      </c>
      <c r="D30" s="3">
        <v>5.4293407687862896</v>
      </c>
      <c r="E30" s="3">
        <v>1.0289020332143999E-2</v>
      </c>
      <c r="F30" s="3">
        <v>52.142333984375</v>
      </c>
      <c r="G30" s="3">
        <v>0.80403047449465104</v>
      </c>
    </row>
    <row r="31" spans="1:8" x14ac:dyDescent="0.2">
      <c r="A31" s="3">
        <v>29</v>
      </c>
      <c r="B31" s="3">
        <v>7.9975078357592997</v>
      </c>
      <c r="C31" s="3">
        <v>0.28287307193672501</v>
      </c>
      <c r="D31" s="3">
        <v>5.5313604157787504</v>
      </c>
      <c r="E31" s="3">
        <v>8.7686428353031202E-3</v>
      </c>
      <c r="F31" s="3">
        <v>100</v>
      </c>
      <c r="G31" s="3">
        <v>35.125882017843701</v>
      </c>
    </row>
    <row r="32" spans="1:8" ht="15" thickBot="1" x14ac:dyDescent="0.25">
      <c r="A32" s="13">
        <v>30</v>
      </c>
      <c r="B32" s="13">
        <v>7.9969489964432903</v>
      </c>
      <c r="C32" s="13">
        <v>0.29869251056159302</v>
      </c>
      <c r="D32" s="13">
        <v>5.25306517372257</v>
      </c>
      <c r="E32" s="13">
        <v>7.8526057865488594E-3</v>
      </c>
      <c r="F32" s="13">
        <v>100</v>
      </c>
      <c r="G32" s="34">
        <v>33.466503666890503</v>
      </c>
      <c r="H32" s="33"/>
    </row>
    <row r="33" spans="1:8" ht="15.75" thickTop="1" thickBot="1" x14ac:dyDescent="0.25">
      <c r="A33" s="15" t="s">
        <v>9</v>
      </c>
      <c r="B33" s="16">
        <f>AVERAGE(B3:B32)</f>
        <v>7.9972007743193485</v>
      </c>
      <c r="C33" s="16">
        <f t="shared" ref="C33:G33" si="0">AVERAGE(C3:C32)</f>
        <v>0.2902240427171941</v>
      </c>
      <c r="D33" s="16">
        <f t="shared" si="0"/>
        <v>5.3712804759182218</v>
      </c>
      <c r="E33" s="16">
        <f t="shared" si="0"/>
        <v>9.5338852067398359E-3</v>
      </c>
      <c r="F33" s="16">
        <f t="shared" si="0"/>
        <v>73.687286376953125</v>
      </c>
      <c r="G33" s="35">
        <f t="shared" si="0"/>
        <v>21.144480187906289</v>
      </c>
    </row>
    <row r="34" spans="1:8" ht="15" thickTop="1" x14ac:dyDescent="0.2">
      <c r="H34" s="33"/>
    </row>
    <row r="35" spans="1:8" x14ac:dyDescent="0.2">
      <c r="H35" s="33"/>
    </row>
    <row r="37" spans="1:8" x14ac:dyDescent="0.2">
      <c r="B37">
        <v>7.9972007743193485</v>
      </c>
      <c r="C37">
        <v>0.2902240427171941</v>
      </c>
      <c r="D37">
        <v>5.3712804759182218</v>
      </c>
      <c r="E37">
        <v>9.5338852067398359E-3</v>
      </c>
      <c r="F37" s="9">
        <v>73.687286376953125</v>
      </c>
      <c r="G37" s="9">
        <v>21.144480187906289</v>
      </c>
    </row>
    <row r="38" spans="1:8" x14ac:dyDescent="0.2">
      <c r="F38" s="9"/>
      <c r="G38" s="9"/>
    </row>
    <row r="39" spans="1:8" x14ac:dyDescent="0.2">
      <c r="F39" s="9"/>
      <c r="G39" s="9"/>
    </row>
    <row r="40" spans="1:8" x14ac:dyDescent="0.2">
      <c r="F40" s="9"/>
      <c r="G40" s="9"/>
    </row>
    <row r="41" spans="1:8" ht="15" thickBot="1" x14ac:dyDescent="0.25">
      <c r="E41" s="17"/>
      <c r="F41" s="9"/>
      <c r="G41" s="9"/>
    </row>
    <row r="42" spans="1:8" ht="15" thickTop="1" x14ac:dyDescent="0.2">
      <c r="F42" s="9"/>
      <c r="G42" s="9"/>
    </row>
    <row r="43" spans="1:8" x14ac:dyDescent="0.2">
      <c r="F43" s="9"/>
      <c r="G43" s="9"/>
    </row>
    <row r="44" spans="1:8" x14ac:dyDescent="0.2">
      <c r="F44" s="9"/>
      <c r="G44" s="9"/>
    </row>
    <row r="45" spans="1:8" x14ac:dyDescent="0.2">
      <c r="F45" s="9"/>
      <c r="G45" s="9"/>
    </row>
    <row r="46" spans="1:8" x14ac:dyDescent="0.2">
      <c r="F46" s="9"/>
      <c r="G46" s="9"/>
    </row>
    <row r="47" spans="1:8" x14ac:dyDescent="0.2">
      <c r="F47" s="9"/>
      <c r="G47" s="9"/>
    </row>
    <row r="48" spans="1:8" x14ac:dyDescent="0.2">
      <c r="F48" s="9"/>
      <c r="G48" s="9"/>
    </row>
    <row r="49" spans="6:7" x14ac:dyDescent="0.2">
      <c r="F49" s="9"/>
      <c r="G49" s="9"/>
    </row>
    <row r="50" spans="6:7" x14ac:dyDescent="0.2">
      <c r="F50" s="9"/>
      <c r="G50" s="9"/>
    </row>
    <row r="51" spans="6:7" x14ac:dyDescent="0.2">
      <c r="F51" s="9"/>
      <c r="G51" s="9"/>
    </row>
    <row r="52" spans="6:7" x14ac:dyDescent="0.2">
      <c r="F52" s="9"/>
      <c r="G52" s="9"/>
    </row>
    <row r="53" spans="6:7" x14ac:dyDescent="0.2">
      <c r="F53" s="9"/>
      <c r="G53" s="9"/>
    </row>
    <row r="54" spans="6:7" x14ac:dyDescent="0.2">
      <c r="F54" s="9"/>
      <c r="G54" s="9"/>
    </row>
    <row r="55" spans="6:7" x14ac:dyDescent="0.2">
      <c r="F55" s="9"/>
      <c r="G55" s="9"/>
    </row>
    <row r="56" spans="6:7" x14ac:dyDescent="0.2">
      <c r="F56" s="9"/>
      <c r="G56" s="9"/>
    </row>
    <row r="57" spans="6:7" x14ac:dyDescent="0.2">
      <c r="F57" s="9"/>
      <c r="G57" s="9"/>
    </row>
    <row r="58" spans="6:7" x14ac:dyDescent="0.2">
      <c r="F58" s="9"/>
      <c r="G58" s="9"/>
    </row>
    <row r="59" spans="6:7" x14ac:dyDescent="0.2">
      <c r="F59" s="9"/>
      <c r="G59" s="9"/>
    </row>
    <row r="60" spans="6:7" x14ac:dyDescent="0.2">
      <c r="F60" s="9"/>
      <c r="G60" s="9"/>
    </row>
    <row r="61" spans="6:7" x14ac:dyDescent="0.2">
      <c r="F61" s="9"/>
      <c r="G61" s="9"/>
    </row>
    <row r="62" spans="6:7" x14ac:dyDescent="0.2">
      <c r="F62" s="9"/>
      <c r="G62" s="9"/>
    </row>
  </sheetData>
  <mergeCells count="1">
    <mergeCell ref="A1:G1"/>
  </mergeCells>
  <pageMargins left="0.25" right="0.25" top="0.75" bottom="0.75" header="0.3" footer="0.3"/>
  <pageSetup paperSize="9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184F-4904-4E87-8ECD-284245B576B1}">
  <sheetPr>
    <tabColor rgb="FF00B050"/>
  </sheetPr>
  <dimension ref="A1:H62"/>
  <sheetViews>
    <sheetView workbookViewId="0">
      <selection activeCell="I6" sqref="I6"/>
    </sheetView>
  </sheetViews>
  <sheetFormatPr defaultRowHeight="14.25" x14ac:dyDescent="0.2"/>
  <cols>
    <col min="1" max="1" width="9.625" bestFit="1" customWidth="1"/>
    <col min="2" max="7" width="11.875" bestFit="1" customWidth="1"/>
  </cols>
  <sheetData>
    <row r="1" spans="1:8" ht="16.5" thickTop="1" thickBot="1" x14ac:dyDescent="0.25">
      <c r="A1" s="54" t="s">
        <v>5</v>
      </c>
      <c r="B1" s="54"/>
      <c r="C1" s="54"/>
      <c r="D1" s="54"/>
      <c r="E1" s="54"/>
      <c r="F1" s="54"/>
      <c r="G1" s="54"/>
    </row>
    <row r="2" spans="1:8" ht="16.5" thickTop="1" thickBot="1" x14ac:dyDescent="0.25">
      <c r="A2" s="18" t="s">
        <v>0</v>
      </c>
      <c r="B2" s="25" t="s">
        <v>8</v>
      </c>
      <c r="C2" s="25" t="s">
        <v>11</v>
      </c>
      <c r="D2" s="25" t="s">
        <v>12</v>
      </c>
      <c r="E2" s="25" t="s">
        <v>13</v>
      </c>
      <c r="F2" s="25" t="s">
        <v>14</v>
      </c>
      <c r="G2" s="25" t="s">
        <v>15</v>
      </c>
    </row>
    <row r="3" spans="1:8" ht="15.75" thickTop="1" thickBot="1" x14ac:dyDescent="0.25">
      <c r="A3" s="23">
        <v>1</v>
      </c>
      <c r="B3" s="26">
        <v>7.1624230153581401</v>
      </c>
      <c r="C3" s="27">
        <v>0.251408173206909</v>
      </c>
      <c r="D3" s="27">
        <v>5.9962060763271197</v>
      </c>
      <c r="E3" s="27">
        <v>8.6271103243397602E-3</v>
      </c>
      <c r="F3" s="27">
        <v>99.536228179931598</v>
      </c>
      <c r="G3" s="28">
        <v>16.425135369394301</v>
      </c>
    </row>
    <row r="4" spans="1:8" ht="15.75" thickTop="1" thickBot="1" x14ac:dyDescent="0.25">
      <c r="A4" s="23">
        <v>2</v>
      </c>
      <c r="B4" s="3">
        <v>7.0681817915810701</v>
      </c>
      <c r="C4" s="3">
        <v>0.24393011703172501</v>
      </c>
      <c r="D4" s="3">
        <v>6.1273457585186701</v>
      </c>
      <c r="E4" s="3">
        <v>9.3054820231904707E-3</v>
      </c>
      <c r="F4" s="3">
        <v>99.557971954345703</v>
      </c>
      <c r="G4" s="3">
        <v>16.233057882271599</v>
      </c>
    </row>
    <row r="5" spans="1:8" ht="15.75" thickTop="1" thickBot="1" x14ac:dyDescent="0.25">
      <c r="A5" s="23">
        <v>3</v>
      </c>
      <c r="B5" s="3">
        <v>7.1264983354889599</v>
      </c>
      <c r="C5" s="3">
        <v>0.24771881238830801</v>
      </c>
      <c r="D5" s="3">
        <v>6.0604101074885701</v>
      </c>
      <c r="E5" s="3">
        <v>9.4796224196247395E-3</v>
      </c>
      <c r="F5" s="3">
        <v>99.554157257080107</v>
      </c>
      <c r="G5" s="3">
        <v>16.618289947509801</v>
      </c>
    </row>
    <row r="6" spans="1:8" ht="15.75" thickTop="1" thickBot="1" x14ac:dyDescent="0.25">
      <c r="A6" s="23">
        <v>4</v>
      </c>
      <c r="B6" s="3">
        <v>7.0764207790449003</v>
      </c>
      <c r="C6" s="3">
        <v>0.25415403743645298</v>
      </c>
      <c r="D6" s="3">
        <v>5.94902986797615</v>
      </c>
      <c r="E6" s="3">
        <v>9.3118708426009802E-3</v>
      </c>
      <c r="F6" s="3">
        <v>99.545955657958999</v>
      </c>
      <c r="G6" s="3">
        <v>16.3578287760417</v>
      </c>
    </row>
    <row r="7" spans="1:8" ht="15.75" thickTop="1" thickBot="1" x14ac:dyDescent="0.25">
      <c r="A7" s="23">
        <v>5</v>
      </c>
      <c r="B7" s="3">
        <v>6.9715822944933397</v>
      </c>
      <c r="C7" s="3">
        <v>0.24591381974525101</v>
      </c>
      <c r="D7" s="3">
        <v>6.0921706430537999</v>
      </c>
      <c r="E7" s="3">
        <v>8.9787918624701698E-3</v>
      </c>
      <c r="F7" s="3">
        <v>99.541854858398395</v>
      </c>
      <c r="G7" s="3">
        <v>17.063589657054202</v>
      </c>
    </row>
    <row r="8" spans="1:8" ht="15.75" thickTop="1" thickBot="1" x14ac:dyDescent="0.25">
      <c r="A8" s="23">
        <v>6</v>
      </c>
      <c r="B8" s="3">
        <v>7.0087523562112004</v>
      </c>
      <c r="C8" s="3">
        <v>0.24739499394275899</v>
      </c>
      <c r="D8" s="3">
        <v>6.0660909260112801</v>
      </c>
      <c r="E8" s="3">
        <v>1.01376924855037E-2</v>
      </c>
      <c r="F8" s="3">
        <v>99.558353424072294</v>
      </c>
      <c r="G8" s="3">
        <v>15.9944033155254</v>
      </c>
      <c r="H8" s="33"/>
    </row>
    <row r="9" spans="1:8" ht="15.75" thickTop="1" thickBot="1" x14ac:dyDescent="0.25">
      <c r="A9" s="23">
        <v>7</v>
      </c>
      <c r="B9" s="3">
        <v>7.0490678138183798</v>
      </c>
      <c r="C9" s="3">
        <v>0.25730962909942401</v>
      </c>
      <c r="D9" s="3">
        <v>5.89543961218736</v>
      </c>
      <c r="E9" s="3">
        <v>9.1878038613033494E-3</v>
      </c>
      <c r="F9" s="3">
        <v>99.548816680908203</v>
      </c>
      <c r="G9" s="3">
        <v>16.903310289569902</v>
      </c>
      <c r="H9" s="33"/>
    </row>
    <row r="10" spans="1:8" ht="15.75" thickTop="1" thickBot="1" x14ac:dyDescent="0.25">
      <c r="A10" s="23">
        <v>8</v>
      </c>
      <c r="B10" s="3">
        <v>7.0402298965799304</v>
      </c>
      <c r="C10" s="3">
        <v>0.25820720882998599</v>
      </c>
      <c r="D10" s="3">
        <v>5.8803163692869997</v>
      </c>
      <c r="E10" s="3">
        <v>9.0895602509862804E-3</v>
      </c>
      <c r="F10" s="3">
        <v>99.560260772705107</v>
      </c>
      <c r="G10" s="3">
        <v>17.3766461540671</v>
      </c>
      <c r="H10" s="2"/>
    </row>
    <row r="11" spans="1:8" ht="15.75" thickTop="1" thickBot="1" x14ac:dyDescent="0.25">
      <c r="A11" s="23">
        <v>9</v>
      </c>
      <c r="B11" s="3">
        <v>7.15322378081793</v>
      </c>
      <c r="C11" s="3">
        <v>0.24993913503079801</v>
      </c>
      <c r="D11" s="3">
        <v>6.0216573748202098</v>
      </c>
      <c r="E11" s="3">
        <v>9.5623663573764402E-3</v>
      </c>
      <c r="F11" s="3">
        <v>99.548816680908203</v>
      </c>
      <c r="G11" s="3">
        <v>16.2653320910884</v>
      </c>
      <c r="H11" s="33"/>
    </row>
    <row r="12" spans="1:8" ht="15.75" thickTop="1" thickBot="1" x14ac:dyDescent="0.25">
      <c r="A12" s="23">
        <v>10</v>
      </c>
      <c r="B12" s="3">
        <v>6.96887218936845</v>
      </c>
      <c r="C12" s="3">
        <v>0.16254841456135</v>
      </c>
      <c r="D12" s="3">
        <v>7.8901726209904499</v>
      </c>
      <c r="E12" s="3">
        <v>1.2810782597322001E-2</v>
      </c>
      <c r="F12" s="3">
        <v>99.181556701660199</v>
      </c>
      <c r="G12" s="3">
        <v>14.8005399516985</v>
      </c>
      <c r="H12" s="33"/>
    </row>
    <row r="13" spans="1:8" ht="15.75" thickTop="1" thickBot="1" x14ac:dyDescent="0.25">
      <c r="A13" s="23">
        <v>11</v>
      </c>
      <c r="B13" s="3">
        <v>6.9087400722415797</v>
      </c>
      <c r="C13" s="3">
        <v>0.147527520358678</v>
      </c>
      <c r="D13" s="3">
        <v>8.3112695714301204</v>
      </c>
      <c r="E13" s="3">
        <v>1.37858248411855E-2</v>
      </c>
      <c r="F13" s="3">
        <v>59.510707855224602</v>
      </c>
      <c r="G13" s="3">
        <v>14.541994730631499</v>
      </c>
    </row>
    <row r="14" spans="1:8" ht="15.75" thickTop="1" thickBot="1" x14ac:dyDescent="0.25">
      <c r="A14" s="23">
        <v>12</v>
      </c>
      <c r="B14" s="3">
        <v>7.03510859700941</v>
      </c>
      <c r="C14" s="3">
        <v>0.22518436359218999</v>
      </c>
      <c r="D14" s="3">
        <v>6.4746176942190896</v>
      </c>
      <c r="E14" s="3">
        <v>9.6763952867705092E-3</v>
      </c>
      <c r="F14" s="3">
        <v>98.836517333984403</v>
      </c>
      <c r="G14" s="3">
        <v>14.4045137891582</v>
      </c>
    </row>
    <row r="15" spans="1:8" ht="15.75" thickTop="1" thickBot="1" x14ac:dyDescent="0.25">
      <c r="A15" s="23">
        <v>13</v>
      </c>
      <c r="B15" s="3">
        <v>6.9973187057238997</v>
      </c>
      <c r="C15" s="3">
        <v>0.24464168927179999</v>
      </c>
      <c r="D15" s="3">
        <v>6.1146953308083898</v>
      </c>
      <c r="E15" s="3">
        <v>9.9295919322923108E-3</v>
      </c>
      <c r="F15" s="3">
        <v>99.523735046386705</v>
      </c>
      <c r="G15" s="3">
        <v>14.847823124305901</v>
      </c>
    </row>
    <row r="16" spans="1:8" ht="15.75" thickTop="1" thickBot="1" x14ac:dyDescent="0.25">
      <c r="A16" s="23">
        <v>14</v>
      </c>
      <c r="B16" s="3">
        <v>7.03067275774547</v>
      </c>
      <c r="C16" s="3">
        <v>0.17696590989225799</v>
      </c>
      <c r="D16" s="3">
        <v>7.5211038658505496</v>
      </c>
      <c r="E16" s="3">
        <v>1.41074158768059E-2</v>
      </c>
      <c r="F16" s="3">
        <v>99.317741394042997</v>
      </c>
      <c r="G16" s="3">
        <v>14.777857836555</v>
      </c>
    </row>
    <row r="17" spans="1:7" ht="15.75" thickTop="1" thickBot="1" x14ac:dyDescent="0.25">
      <c r="A17" s="23">
        <v>15</v>
      </c>
      <c r="B17" s="3">
        <v>7.0209623660077201</v>
      </c>
      <c r="C17" s="3">
        <v>0.24361804421487801</v>
      </c>
      <c r="D17" s="3">
        <v>6.1329054767820601</v>
      </c>
      <c r="E17" s="3">
        <v>1.0437169886591499E-2</v>
      </c>
      <c r="F17" s="3">
        <v>99.5318412780762</v>
      </c>
      <c r="G17" s="3">
        <v>16.354501761642201</v>
      </c>
    </row>
    <row r="18" spans="1:7" ht="15.75" thickTop="1" thickBot="1" x14ac:dyDescent="0.25">
      <c r="A18" s="23">
        <v>16</v>
      </c>
      <c r="B18" s="3">
        <v>6.95311456694846</v>
      </c>
      <c r="C18" s="3">
        <v>0.185910949002868</v>
      </c>
      <c r="D18" s="3">
        <v>7.30695032221095</v>
      </c>
      <c r="E18" s="3">
        <v>1.07065779766867E-2</v>
      </c>
      <c r="F18" s="3">
        <v>99.034881591796903</v>
      </c>
      <c r="G18" s="3">
        <v>16.600571426690799</v>
      </c>
    </row>
    <row r="19" spans="1:7" ht="15.75" thickTop="1" thickBot="1" x14ac:dyDescent="0.25">
      <c r="A19" s="23">
        <v>17</v>
      </c>
      <c r="B19" s="3">
        <v>7.0144268083177899</v>
      </c>
      <c r="C19" s="3">
        <v>0.23021597690998499</v>
      </c>
      <c r="D19" s="3">
        <v>6.3786453977196196</v>
      </c>
      <c r="E19" s="3">
        <v>1.03939234062768E-2</v>
      </c>
      <c r="F19" s="3">
        <v>99.549961090087905</v>
      </c>
      <c r="G19" s="3">
        <v>16.721389246921898</v>
      </c>
    </row>
    <row r="20" spans="1:7" ht="15.75" thickTop="1" thickBot="1" x14ac:dyDescent="0.25">
      <c r="A20" s="23">
        <v>18</v>
      </c>
      <c r="B20" s="3">
        <v>7.0500859105862199</v>
      </c>
      <c r="C20" s="3">
        <v>0.25018324012328802</v>
      </c>
      <c r="D20" s="3">
        <v>6.0174178723160798</v>
      </c>
      <c r="E20" s="3">
        <v>8.4218326402832402E-3</v>
      </c>
      <c r="F20" s="3">
        <v>99.546241760253906</v>
      </c>
      <c r="G20" s="3">
        <v>16.073125203450498</v>
      </c>
    </row>
    <row r="21" spans="1:7" ht="15.75" thickTop="1" thickBot="1" x14ac:dyDescent="0.25">
      <c r="A21" s="23">
        <v>19</v>
      </c>
      <c r="B21" s="3">
        <v>7.0724044089257099</v>
      </c>
      <c r="C21" s="3">
        <v>0.24398023737722699</v>
      </c>
      <c r="D21" s="3">
        <v>6.1264535048756699</v>
      </c>
      <c r="E21" s="3">
        <v>9.8194160223682905E-3</v>
      </c>
      <c r="F21" s="3">
        <v>99.542999267578097</v>
      </c>
      <c r="G21" s="3">
        <v>15.9068017847398</v>
      </c>
    </row>
    <row r="22" spans="1:7" ht="15.75" thickTop="1" thickBot="1" x14ac:dyDescent="0.25">
      <c r="A22" s="23">
        <v>20</v>
      </c>
      <c r="B22" s="3">
        <v>7.0637156210197301</v>
      </c>
      <c r="C22" s="3">
        <v>0.25367246822124201</v>
      </c>
      <c r="D22" s="3">
        <v>5.9572666540903798</v>
      </c>
      <c r="E22" s="3">
        <v>8.3619166106903599E-3</v>
      </c>
      <c r="F22" s="3">
        <v>99.550819396972699</v>
      </c>
      <c r="G22" s="3">
        <v>16.566720476337501</v>
      </c>
    </row>
    <row r="23" spans="1:7" ht="15.75" thickTop="1" thickBot="1" x14ac:dyDescent="0.25">
      <c r="A23" s="23">
        <v>21</v>
      </c>
      <c r="B23" s="3">
        <v>7.0656757042231702</v>
      </c>
      <c r="C23" s="3">
        <v>0.24737585915343199</v>
      </c>
      <c r="D23" s="3">
        <v>6.0664268444821898</v>
      </c>
      <c r="E23" s="3">
        <v>9.8441562351616104E-3</v>
      </c>
      <c r="F23" s="3">
        <v>99.556922912597699</v>
      </c>
      <c r="G23" s="3">
        <v>16.364420722512602</v>
      </c>
    </row>
    <row r="24" spans="1:7" ht="15.75" thickTop="1" thickBot="1" x14ac:dyDescent="0.25">
      <c r="A24" s="23">
        <v>22</v>
      </c>
      <c r="B24" s="3">
        <v>7.03928183904811</v>
      </c>
      <c r="C24" s="3">
        <v>0.28142533686784099</v>
      </c>
      <c r="D24" s="3">
        <v>5.5063680538547803</v>
      </c>
      <c r="E24" s="3">
        <v>9.1890444843953992E-3</v>
      </c>
      <c r="F24" s="3">
        <v>99.536418914794893</v>
      </c>
      <c r="G24" s="3">
        <v>17.035734887216599</v>
      </c>
    </row>
    <row r="25" spans="1:7" ht="15.75" thickTop="1" thickBot="1" x14ac:dyDescent="0.25">
      <c r="A25" s="23">
        <v>23</v>
      </c>
      <c r="B25" s="3">
        <v>7.0029912507129604</v>
      </c>
      <c r="C25" s="3">
        <v>0.25584990908576599</v>
      </c>
      <c r="D25" s="3">
        <v>5.9201473301493204</v>
      </c>
      <c r="E25" s="3">
        <v>9.0229369845246498E-3</v>
      </c>
      <c r="F25" s="3">
        <v>99.533843994140597</v>
      </c>
      <c r="G25" s="3">
        <v>16.543006148992799</v>
      </c>
    </row>
    <row r="26" spans="1:7" ht="15.75" thickTop="1" thickBot="1" x14ac:dyDescent="0.25">
      <c r="A26" s="23">
        <v>24</v>
      </c>
      <c r="B26" s="3">
        <v>7.0883610829325203</v>
      </c>
      <c r="C26" s="3">
        <v>0.26896692304939601</v>
      </c>
      <c r="D26" s="3">
        <v>5.7030112527783601</v>
      </c>
      <c r="E26" s="3">
        <v>8.3031077827055606E-3</v>
      </c>
      <c r="F26" s="3">
        <v>99.543190002441406</v>
      </c>
      <c r="G26" s="3">
        <v>17.738494499056898</v>
      </c>
    </row>
    <row r="27" spans="1:7" ht="15.75" thickTop="1" thickBot="1" x14ac:dyDescent="0.25">
      <c r="A27" s="23">
        <v>25</v>
      </c>
      <c r="B27" s="3">
        <v>6.9515957320821897</v>
      </c>
      <c r="C27" s="3">
        <v>0.17098262044677301</v>
      </c>
      <c r="D27" s="3">
        <v>7.6704803129002403</v>
      </c>
      <c r="E27" s="3">
        <v>1.3804801578772801E-2</v>
      </c>
      <c r="F27" s="3">
        <v>99.253654479980497</v>
      </c>
      <c r="G27" s="3">
        <v>14.6774942734662</v>
      </c>
    </row>
    <row r="28" spans="1:7" ht="15.75" thickTop="1" thickBot="1" x14ac:dyDescent="0.25">
      <c r="A28" s="23">
        <v>26</v>
      </c>
      <c r="B28" s="3">
        <v>7.0468176726155098</v>
      </c>
      <c r="C28" s="3">
        <v>0.25842854992126402</v>
      </c>
      <c r="D28" s="3">
        <v>5.87659509297914</v>
      </c>
      <c r="E28" s="3">
        <v>8.6826438375095898E-3</v>
      </c>
      <c r="F28" s="3">
        <v>99.542331695556598</v>
      </c>
      <c r="G28" s="3">
        <v>16.580702463785801</v>
      </c>
    </row>
    <row r="29" spans="1:7" ht="15.75" thickTop="1" thickBot="1" x14ac:dyDescent="0.25">
      <c r="A29" s="23">
        <v>27</v>
      </c>
      <c r="B29" s="3">
        <v>7.0414150738142798</v>
      </c>
      <c r="C29" s="3">
        <v>0.24563597802095399</v>
      </c>
      <c r="D29" s="3">
        <v>6.0970802225553502</v>
      </c>
      <c r="E29" s="3">
        <v>9.2431643174171498E-3</v>
      </c>
      <c r="F29" s="3">
        <v>99.531459808349595</v>
      </c>
      <c r="G29" s="3">
        <v>16.0207535238827</v>
      </c>
    </row>
    <row r="30" spans="1:7" ht="15.75" thickTop="1" thickBot="1" x14ac:dyDescent="0.25">
      <c r="A30" s="23">
        <v>28</v>
      </c>
      <c r="B30" s="3">
        <v>7.0122490010479801</v>
      </c>
      <c r="C30" s="3">
        <v>0.24090550199559399</v>
      </c>
      <c r="D30" s="3">
        <v>6.1815328111814001</v>
      </c>
      <c r="E30" s="3">
        <v>9.1401695398090899E-3</v>
      </c>
      <c r="F30" s="3">
        <v>99.540328979492202</v>
      </c>
      <c r="G30" s="3">
        <v>16.679613449994299</v>
      </c>
    </row>
    <row r="31" spans="1:7" ht="15.75" thickTop="1" thickBot="1" x14ac:dyDescent="0.25">
      <c r="A31" s="23">
        <v>29</v>
      </c>
      <c r="B31" s="3">
        <v>7.1467692550311499</v>
      </c>
      <c r="C31" s="3">
        <v>0.27366244147108798</v>
      </c>
      <c r="D31" s="3">
        <v>5.6278480281321901</v>
      </c>
      <c r="E31" s="3">
        <v>8.7260008992134704E-3</v>
      </c>
      <c r="F31" s="3">
        <v>99.550914764404297</v>
      </c>
      <c r="G31" s="3">
        <v>18.334432115741802</v>
      </c>
    </row>
    <row r="32" spans="1:7" ht="15.75" thickTop="1" thickBot="1" x14ac:dyDescent="0.25">
      <c r="A32" s="23">
        <v>30</v>
      </c>
      <c r="B32" s="30">
        <v>6.9869648708496097</v>
      </c>
      <c r="C32" s="31">
        <v>0.23224015600386699</v>
      </c>
      <c r="D32" s="31">
        <v>6.3406268544543396</v>
      </c>
      <c r="E32" s="32">
        <v>9.0539603852707196E-3</v>
      </c>
      <c r="F32" s="29">
        <v>99.219512939453097</v>
      </c>
      <c r="G32" s="29">
        <v>16.1365142523074</v>
      </c>
    </row>
    <row r="33" spans="1:7" ht="16.5" thickTop="1" thickBot="1" x14ac:dyDescent="0.3">
      <c r="A33" s="19" t="s">
        <v>9</v>
      </c>
      <c r="B33" s="24">
        <f>AVERAGE(B3:B32)</f>
        <v>7.0384641183215262</v>
      </c>
      <c r="C33" s="24">
        <f t="shared" ref="C33:D33" si="0">AVERAGE(C3:C32)</f>
        <v>0.23652993387511173</v>
      </c>
      <c r="D33" s="24">
        <f t="shared" si="0"/>
        <v>6.3103427283476936</v>
      </c>
      <c r="E33" s="24">
        <f>AVERAGE(E3:E32)</f>
        <v>9.9047044516483006E-3</v>
      </c>
      <c r="F33" s="24">
        <f t="shared" ref="F33:G33" si="1">AVERAGE(F3:F32)</f>
        <v>98.129599889119461</v>
      </c>
      <c r="G33" s="24">
        <f t="shared" si="1"/>
        <v>16.231486638387043</v>
      </c>
    </row>
    <row r="34" spans="1:7" ht="15" thickTop="1" x14ac:dyDescent="0.2">
      <c r="F34" s="9"/>
      <c r="G34" s="9"/>
    </row>
    <row r="35" spans="1:7" x14ac:dyDescent="0.2">
      <c r="F35" s="9"/>
      <c r="G35" s="9"/>
    </row>
    <row r="36" spans="1:7" x14ac:dyDescent="0.2">
      <c r="B36">
        <v>7.0384641183215262</v>
      </c>
      <c r="C36">
        <v>0.23652993387511173</v>
      </c>
      <c r="D36">
        <v>6.3103427283476936</v>
      </c>
      <c r="E36">
        <v>9.9047044516483006E-3</v>
      </c>
      <c r="F36" s="9">
        <v>98.129599889119461</v>
      </c>
      <c r="G36" s="9">
        <v>16.231486638387043</v>
      </c>
    </row>
    <row r="37" spans="1:7" x14ac:dyDescent="0.2">
      <c r="F37" s="9"/>
      <c r="G37" s="9"/>
    </row>
    <row r="38" spans="1:7" x14ac:dyDescent="0.2">
      <c r="F38" s="9"/>
      <c r="G38" s="9"/>
    </row>
    <row r="39" spans="1:7" x14ac:dyDescent="0.2">
      <c r="F39" s="9"/>
      <c r="G39" s="9"/>
    </row>
    <row r="40" spans="1:7" x14ac:dyDescent="0.2">
      <c r="F40" s="9"/>
      <c r="G40" s="9"/>
    </row>
    <row r="41" spans="1:7" x14ac:dyDescent="0.2">
      <c r="F41" s="9"/>
      <c r="G41" s="9"/>
    </row>
    <row r="42" spans="1:7" x14ac:dyDescent="0.2">
      <c r="F42" s="9"/>
      <c r="G42" s="9"/>
    </row>
    <row r="43" spans="1:7" x14ac:dyDescent="0.2">
      <c r="F43" s="9"/>
      <c r="G43" s="9"/>
    </row>
    <row r="44" spans="1:7" x14ac:dyDescent="0.2">
      <c r="F44" s="9"/>
      <c r="G44" s="9"/>
    </row>
    <row r="45" spans="1:7" x14ac:dyDescent="0.2">
      <c r="F45" s="9"/>
      <c r="G45" s="9"/>
    </row>
    <row r="46" spans="1:7" x14ac:dyDescent="0.2">
      <c r="F46" s="9"/>
      <c r="G46" s="9"/>
    </row>
    <row r="47" spans="1:7" x14ac:dyDescent="0.2">
      <c r="F47" s="9"/>
      <c r="G47" s="9"/>
    </row>
    <row r="48" spans="1:7" x14ac:dyDescent="0.2">
      <c r="F48" s="9"/>
      <c r="G48" s="9"/>
    </row>
    <row r="49" spans="6:7" x14ac:dyDescent="0.2">
      <c r="F49" s="9"/>
      <c r="G49" s="9"/>
    </row>
    <row r="50" spans="6:7" x14ac:dyDescent="0.2">
      <c r="F50" s="9"/>
      <c r="G50" s="9"/>
    </row>
    <row r="51" spans="6:7" x14ac:dyDescent="0.2">
      <c r="F51" s="9"/>
      <c r="G51" s="9"/>
    </row>
    <row r="52" spans="6:7" x14ac:dyDescent="0.2">
      <c r="F52" s="9"/>
      <c r="G52" s="9"/>
    </row>
    <row r="53" spans="6:7" x14ac:dyDescent="0.2">
      <c r="F53" s="9"/>
      <c r="G53" s="9"/>
    </row>
    <row r="54" spans="6:7" x14ac:dyDescent="0.2">
      <c r="F54" s="9"/>
      <c r="G54" s="9"/>
    </row>
    <row r="55" spans="6:7" x14ac:dyDescent="0.2">
      <c r="F55" s="9"/>
      <c r="G55" s="9"/>
    </row>
    <row r="56" spans="6:7" x14ac:dyDescent="0.2">
      <c r="F56" s="9"/>
      <c r="G56" s="9"/>
    </row>
    <row r="57" spans="6:7" x14ac:dyDescent="0.2">
      <c r="F57" s="9"/>
      <c r="G57" s="9"/>
    </row>
    <row r="58" spans="6:7" x14ac:dyDescent="0.2">
      <c r="F58" s="9"/>
      <c r="G58" s="9"/>
    </row>
    <row r="59" spans="6:7" x14ac:dyDescent="0.2">
      <c r="F59" s="9"/>
      <c r="G59" s="9"/>
    </row>
    <row r="60" spans="6:7" x14ac:dyDescent="0.2">
      <c r="F60" s="9"/>
      <c r="G60" s="9"/>
    </row>
    <row r="61" spans="6:7" x14ac:dyDescent="0.2">
      <c r="F61" s="9"/>
      <c r="G61" s="9"/>
    </row>
    <row r="62" spans="6:7" x14ac:dyDescent="0.2">
      <c r="F62" s="9"/>
      <c r="G62" s="9"/>
    </row>
  </sheetData>
  <mergeCells count="1">
    <mergeCell ref="A1:G1"/>
  </mergeCells>
  <pageMargins left="0.25" right="0.25" top="0.75" bottom="0.75" header="0.3" footer="0.3"/>
  <pageSetup paperSize="9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9157-7AAE-41C3-A9BB-8D0BB111F33B}">
  <sheetPr>
    <tabColor rgb="FF92D050"/>
  </sheetPr>
  <dimension ref="A1:H62"/>
  <sheetViews>
    <sheetView workbookViewId="0">
      <selection activeCell="I31" sqref="A1:I31"/>
    </sheetView>
  </sheetViews>
  <sheetFormatPr defaultRowHeight="14.25" x14ac:dyDescent="0.2"/>
  <cols>
    <col min="1" max="1" width="10.125" bestFit="1" customWidth="1"/>
    <col min="2" max="5" width="11.875" bestFit="1" customWidth="1"/>
    <col min="6" max="6" width="9.875" bestFit="1" customWidth="1"/>
    <col min="7" max="7" width="11.875" bestFit="1" customWidth="1"/>
  </cols>
  <sheetData>
    <row r="1" spans="1:7" x14ac:dyDescent="0.2">
      <c r="A1" s="53" t="s">
        <v>6</v>
      </c>
      <c r="B1" s="53"/>
      <c r="C1" s="53"/>
      <c r="D1" s="53"/>
      <c r="E1" s="53"/>
      <c r="F1" s="53"/>
      <c r="G1" s="53"/>
    </row>
    <row r="2" spans="1:7" x14ac:dyDescent="0.2">
      <c r="A2" s="41" t="s">
        <v>0</v>
      </c>
      <c r="B2" s="41" t="s">
        <v>8</v>
      </c>
      <c r="C2" s="41" t="s">
        <v>11</v>
      </c>
      <c r="D2" s="41" t="s">
        <v>12</v>
      </c>
      <c r="E2" s="41" t="s">
        <v>13</v>
      </c>
      <c r="F2" s="41" t="s">
        <v>14</v>
      </c>
      <c r="G2" s="41" t="s">
        <v>15</v>
      </c>
    </row>
    <row r="3" spans="1:7" ht="15" x14ac:dyDescent="0.25">
      <c r="A3" s="42">
        <v>1</v>
      </c>
      <c r="B3" s="42">
        <v>7.0428418579051204</v>
      </c>
      <c r="C3" s="42">
        <v>0.30316965137615198</v>
      </c>
      <c r="D3" s="42">
        <v>5.1831427566382597</v>
      </c>
      <c r="E3" s="42">
        <v>8.2784845818195604E-3</v>
      </c>
      <c r="F3" s="42">
        <v>100</v>
      </c>
      <c r="G3" s="42">
        <v>44.823558283788202</v>
      </c>
    </row>
    <row r="4" spans="1:7" ht="15" x14ac:dyDescent="0.25">
      <c r="A4" s="42">
        <v>2</v>
      </c>
      <c r="B4" s="42">
        <v>7.0305556290961499</v>
      </c>
      <c r="C4" s="42">
        <v>0.29953517396099</v>
      </c>
      <c r="D4" s="42">
        <v>5.2355217173804496</v>
      </c>
      <c r="E4" s="42">
        <v>8.8469706082440792E-3</v>
      </c>
      <c r="F4" s="42">
        <v>100</v>
      </c>
      <c r="G4" s="42">
        <v>33.892245947146499</v>
      </c>
    </row>
    <row r="5" spans="1:7" ht="15" x14ac:dyDescent="0.25">
      <c r="A5" s="42">
        <v>3</v>
      </c>
      <c r="B5" s="42">
        <v>7.0874650663396599</v>
      </c>
      <c r="C5" s="42">
        <v>0.29645612403549898</v>
      </c>
      <c r="D5" s="42">
        <v>5.2803957379817597</v>
      </c>
      <c r="E5" s="42">
        <v>8.2440805663604108E-3</v>
      </c>
      <c r="F5" s="42">
        <v>94.578649999999996</v>
      </c>
      <c r="G5" s="42">
        <v>37.035668317009502</v>
      </c>
    </row>
    <row r="6" spans="1:7" ht="15" x14ac:dyDescent="0.25">
      <c r="A6" s="42">
        <v>4</v>
      </c>
      <c r="B6" s="42">
        <v>7.1544078672714804</v>
      </c>
      <c r="C6" s="42">
        <v>0.296912595667504</v>
      </c>
      <c r="D6" s="42">
        <v>5.2737137831213401</v>
      </c>
      <c r="E6" s="42">
        <v>9.0647657219573505E-3</v>
      </c>
      <c r="F6" s="42">
        <v>100</v>
      </c>
      <c r="G6" s="42">
        <v>39.596112943163902</v>
      </c>
    </row>
    <row r="7" spans="1:7" ht="15" x14ac:dyDescent="0.25">
      <c r="A7" s="42">
        <v>5</v>
      </c>
      <c r="B7" s="42">
        <v>7.9971192881366804</v>
      </c>
      <c r="C7" s="42">
        <v>0.301493641003789</v>
      </c>
      <c r="D7" s="42">
        <v>5.2072184341135497</v>
      </c>
      <c r="E7" s="42">
        <v>8.9027680854708007E-3</v>
      </c>
      <c r="F7" s="42">
        <v>100</v>
      </c>
      <c r="G7" s="42">
        <v>46.0874617333507</v>
      </c>
    </row>
    <row r="8" spans="1:7" ht="15" x14ac:dyDescent="0.25">
      <c r="A8" s="42">
        <v>6</v>
      </c>
      <c r="B8" s="42">
        <v>7.0888239575105896</v>
      </c>
      <c r="C8" s="42">
        <v>0.29736391998079797</v>
      </c>
      <c r="D8" s="42">
        <v>5.2671172681544904</v>
      </c>
      <c r="E8" s="42">
        <v>8.77132563683399E-3</v>
      </c>
      <c r="F8" s="42">
        <v>100</v>
      </c>
      <c r="G8" s="42">
        <v>32.0238633249324</v>
      </c>
    </row>
    <row r="9" spans="1:7" ht="15" x14ac:dyDescent="0.25">
      <c r="A9" s="42">
        <v>7</v>
      </c>
      <c r="B9" s="42">
        <v>7.1005919561855597</v>
      </c>
      <c r="C9" s="42">
        <v>0.29625618668805198</v>
      </c>
      <c r="D9" s="42">
        <v>5.2833257155929996</v>
      </c>
      <c r="E9" s="42">
        <v>8.7840998826826892E-3</v>
      </c>
      <c r="F9" s="42">
        <v>100</v>
      </c>
      <c r="G9" s="42">
        <v>28.912189334046499</v>
      </c>
    </row>
    <row r="10" spans="1:7" ht="15" x14ac:dyDescent="0.25">
      <c r="A10" s="42">
        <v>8</v>
      </c>
      <c r="B10" s="42">
        <v>7.1093051279545501</v>
      </c>
      <c r="C10" s="42">
        <v>0.29659674831098498</v>
      </c>
      <c r="D10" s="42">
        <v>5.2783361459670299</v>
      </c>
      <c r="E10" s="42">
        <v>8.5325708622942392E-3</v>
      </c>
      <c r="F10" s="42">
        <v>100</v>
      </c>
      <c r="G10" s="42">
        <v>31.879166995778</v>
      </c>
    </row>
    <row r="11" spans="1:7" ht="15" x14ac:dyDescent="0.25">
      <c r="A11" s="42">
        <v>9</v>
      </c>
      <c r="B11" s="42">
        <v>7.0338839030834199</v>
      </c>
      <c r="C11" s="42">
        <v>0.2990424377723</v>
      </c>
      <c r="D11" s="42">
        <v>5.2426717561364198</v>
      </c>
      <c r="E11" s="42">
        <v>8.6425532746313202E-3</v>
      </c>
      <c r="F11" s="42">
        <v>100</v>
      </c>
      <c r="G11" s="42">
        <v>38.642237794165901</v>
      </c>
    </row>
    <row r="12" spans="1:7" ht="15" x14ac:dyDescent="0.25">
      <c r="A12" s="42">
        <v>10</v>
      </c>
      <c r="B12" s="42">
        <v>7.0959105986195103</v>
      </c>
      <c r="C12" s="42">
        <v>0.308781916960438</v>
      </c>
      <c r="D12" s="42">
        <v>5.1034814096016703</v>
      </c>
      <c r="E12" s="42">
        <v>8.4665364890597495E-3</v>
      </c>
      <c r="F12" s="42">
        <v>100</v>
      </c>
      <c r="G12" s="42">
        <v>3.0669234780704202</v>
      </c>
    </row>
    <row r="13" spans="1:7" ht="15" x14ac:dyDescent="0.25">
      <c r="A13" s="42">
        <v>11</v>
      </c>
      <c r="B13" s="42">
        <v>7.1240205137616703</v>
      </c>
      <c r="C13" s="42">
        <v>0.31799646472160897</v>
      </c>
      <c r="D13" s="42">
        <v>4.97577708193025</v>
      </c>
      <c r="E13" s="42">
        <v>7.9951993881710298E-3</v>
      </c>
      <c r="F13" s="42">
        <v>100</v>
      </c>
      <c r="G13" s="42">
        <v>46.136785021015498</v>
      </c>
    </row>
    <row r="14" spans="1:7" ht="15" x14ac:dyDescent="0.25">
      <c r="A14" s="42">
        <v>12</v>
      </c>
      <c r="B14" s="42">
        <v>7.1048647970887302</v>
      </c>
      <c r="C14" s="42">
        <v>0.30663566285763599</v>
      </c>
      <c r="D14" s="42">
        <v>5.1337733649541004</v>
      </c>
      <c r="E14" s="42">
        <v>8.6553023674657299E-3</v>
      </c>
      <c r="F14" s="42">
        <v>100</v>
      </c>
      <c r="G14" s="42">
        <v>32.166043075860699</v>
      </c>
    </row>
    <row r="15" spans="1:7" ht="15" x14ac:dyDescent="0.25">
      <c r="A15" s="42">
        <v>13</v>
      </c>
      <c r="B15" s="42">
        <v>7.1692316464501902</v>
      </c>
      <c r="C15" s="42">
        <v>0.30544967412307</v>
      </c>
      <c r="D15" s="42">
        <v>5.1506033387008996</v>
      </c>
      <c r="E15" s="42">
        <v>8.8710273359904907E-3</v>
      </c>
      <c r="F15" s="42">
        <v>100</v>
      </c>
      <c r="G15" s="42">
        <v>34.087577146642801</v>
      </c>
    </row>
    <row r="16" spans="1:7" ht="15" x14ac:dyDescent="0.25">
      <c r="A16" s="42">
        <v>14</v>
      </c>
      <c r="B16" s="42">
        <v>7.15109331938128</v>
      </c>
      <c r="C16" s="42">
        <v>0.30740185187258001</v>
      </c>
      <c r="D16" s="42">
        <v>5.1229352052000801</v>
      </c>
      <c r="E16" s="42">
        <v>8.8192210977667204E-3</v>
      </c>
      <c r="F16" s="42">
        <v>100</v>
      </c>
      <c r="G16" s="42">
        <v>35.161275302662901</v>
      </c>
    </row>
    <row r="17" spans="1:7" ht="15" x14ac:dyDescent="0.25">
      <c r="A17" s="42">
        <v>15</v>
      </c>
      <c r="B17" s="42">
        <v>7.0636879815630502</v>
      </c>
      <c r="C17" s="42">
        <v>0.298467033544626</v>
      </c>
      <c r="D17" s="42">
        <v>5.2510363083381097</v>
      </c>
      <c r="E17" s="42">
        <v>8.8769528993370497E-3</v>
      </c>
      <c r="F17" s="42">
        <v>95</v>
      </c>
      <c r="G17" s="42">
        <v>31.242999999999999</v>
      </c>
    </row>
    <row r="18" spans="1:7" ht="15" x14ac:dyDescent="0.25">
      <c r="A18" s="42">
        <v>16</v>
      </c>
      <c r="B18" s="42">
        <v>7.0753034129819996</v>
      </c>
      <c r="C18" s="42">
        <v>0.30415072453200698</v>
      </c>
      <c r="D18" s="42">
        <v>5.1691114464614101</v>
      </c>
      <c r="E18" s="42">
        <v>8.36480885967196E-3</v>
      </c>
      <c r="F18" s="42">
        <v>100</v>
      </c>
      <c r="G18" s="42">
        <v>18.623802334654499</v>
      </c>
    </row>
    <row r="19" spans="1:7" ht="15" x14ac:dyDescent="0.25">
      <c r="A19" s="42">
        <v>17</v>
      </c>
      <c r="B19" s="42">
        <v>7.0146030786733302</v>
      </c>
      <c r="C19" s="42">
        <v>0.30133235981261802</v>
      </c>
      <c r="D19" s="42">
        <v>5.2095422732623797</v>
      </c>
      <c r="E19" s="42">
        <v>8.7970298848458507E-3</v>
      </c>
      <c r="F19" s="42">
        <v>100</v>
      </c>
      <c r="G19" s="42">
        <v>31.501686993767599</v>
      </c>
    </row>
    <row r="20" spans="1:7" ht="15" x14ac:dyDescent="0.25">
      <c r="A20" s="42">
        <v>18</v>
      </c>
      <c r="B20" s="42">
        <v>7.1234180485088503</v>
      </c>
      <c r="C20" s="42">
        <v>0.29833276161273098</v>
      </c>
      <c r="D20" s="42">
        <v>5.25299051678636</v>
      </c>
      <c r="E20" s="42">
        <v>8.6705848031135707E-3</v>
      </c>
      <c r="F20" s="42">
        <v>100</v>
      </c>
      <c r="G20" s="42">
        <v>28.1757369695924</v>
      </c>
    </row>
    <row r="21" spans="1:7" ht="15" x14ac:dyDescent="0.25">
      <c r="A21" s="42">
        <v>19</v>
      </c>
      <c r="B21" s="42">
        <v>7.0383746148976396</v>
      </c>
      <c r="C21" s="42">
        <v>0.29775568776202199</v>
      </c>
      <c r="D21" s="42">
        <v>5.2613993382480704</v>
      </c>
      <c r="E21" s="42">
        <v>8.6103752033240607E-3</v>
      </c>
      <c r="F21" s="42">
        <v>100</v>
      </c>
      <c r="G21" s="42">
        <v>34.029534657796397</v>
      </c>
    </row>
    <row r="22" spans="1:7" ht="15" x14ac:dyDescent="0.25">
      <c r="A22" s="42">
        <v>20</v>
      </c>
      <c r="B22" s="42">
        <v>7.0748800801530898</v>
      </c>
      <c r="C22" s="42">
        <v>0.298376385440555</v>
      </c>
      <c r="D22" s="42">
        <v>5.2523555143624501</v>
      </c>
      <c r="E22" s="42">
        <v>8.7082534220663498E-3</v>
      </c>
      <c r="F22" s="42">
        <v>95</v>
      </c>
      <c r="G22" s="42">
        <v>31.004999999999999</v>
      </c>
    </row>
    <row r="23" spans="1:7" ht="15" x14ac:dyDescent="0.25">
      <c r="A23" s="42">
        <v>21</v>
      </c>
      <c r="B23" s="42">
        <v>7.1136844699030801</v>
      </c>
      <c r="C23" s="42">
        <v>0.29453929845391202</v>
      </c>
      <c r="D23" s="42">
        <v>5.3085675193611603</v>
      </c>
      <c r="E23" s="42">
        <v>8.7655290106064803E-3</v>
      </c>
      <c r="F23" s="42">
        <v>100</v>
      </c>
      <c r="G23" s="42">
        <v>25.6192177417233</v>
      </c>
    </row>
    <row r="24" spans="1:7" ht="15" x14ac:dyDescent="0.25">
      <c r="A24" s="42">
        <v>22</v>
      </c>
      <c r="B24" s="42">
        <v>6.9953771351570397</v>
      </c>
      <c r="C24" s="42">
        <v>0.30094250587718602</v>
      </c>
      <c r="D24" s="42">
        <v>5.2151646708153603</v>
      </c>
      <c r="E24" s="42">
        <v>8.1543852819057298E-3</v>
      </c>
      <c r="F24" s="42">
        <v>100</v>
      </c>
      <c r="G24" s="42">
        <v>32.109333861108603</v>
      </c>
    </row>
    <row r="25" spans="1:7" ht="15" x14ac:dyDescent="0.25">
      <c r="A25" s="42">
        <v>23</v>
      </c>
      <c r="B25" s="42">
        <v>6.9977007929423101</v>
      </c>
      <c r="C25" s="42">
        <v>0.29380475895994201</v>
      </c>
      <c r="D25" s="42">
        <v>5.31941173919133</v>
      </c>
      <c r="E25" s="42">
        <v>8.8391380499932108E-3</v>
      </c>
      <c r="F25" s="42">
        <v>100</v>
      </c>
      <c r="G25" s="42">
        <v>41.129408443675601</v>
      </c>
    </row>
    <row r="26" spans="1:7" ht="15" x14ac:dyDescent="0.25">
      <c r="A26" s="42">
        <v>24</v>
      </c>
      <c r="B26" s="42">
        <v>7.0175765062371704</v>
      </c>
      <c r="C26" s="42">
        <v>0.29678078981052702</v>
      </c>
      <c r="D26" s="42">
        <v>5.2756421373428397</v>
      </c>
      <c r="E26" s="42">
        <v>8.8124797456148197E-3</v>
      </c>
      <c r="F26" s="42">
        <v>100</v>
      </c>
      <c r="G26" s="42">
        <v>35.096019296084997</v>
      </c>
    </row>
    <row r="27" spans="1:7" ht="15" x14ac:dyDescent="0.25">
      <c r="A27" s="42">
        <v>25</v>
      </c>
      <c r="B27" s="42">
        <v>7.0696329512047402</v>
      </c>
      <c r="C27" s="42">
        <v>0.307703953955275</v>
      </c>
      <c r="D27" s="42">
        <v>5.1186692308980204</v>
      </c>
      <c r="E27" s="42">
        <v>8.8574040711099401E-3</v>
      </c>
      <c r="F27" s="42">
        <v>100</v>
      </c>
      <c r="G27" s="42">
        <v>36.4652671065992</v>
      </c>
    </row>
    <row r="28" spans="1:7" ht="15" x14ac:dyDescent="0.25">
      <c r="A28" s="42">
        <v>26</v>
      </c>
      <c r="B28" s="42">
        <v>7.1447155641687203</v>
      </c>
      <c r="C28" s="42">
        <v>0.29518333561188498</v>
      </c>
      <c r="D28" s="42">
        <v>5.2990816397665803</v>
      </c>
      <c r="E28" s="42">
        <v>8.8871586441090899E-3</v>
      </c>
      <c r="F28" s="42">
        <v>100</v>
      </c>
      <c r="G28" s="42">
        <v>37.788676093606703</v>
      </c>
    </row>
    <row r="29" spans="1:7" ht="15" x14ac:dyDescent="0.25">
      <c r="A29" s="42">
        <v>27</v>
      </c>
      <c r="B29" s="42">
        <v>7.1379827858716602</v>
      </c>
      <c r="C29" s="42">
        <v>0.29674742778233998</v>
      </c>
      <c r="D29" s="42">
        <v>5.2761303683765997</v>
      </c>
      <c r="E29" s="42">
        <v>9.1605766603947199E-3</v>
      </c>
      <c r="F29" s="42">
        <v>100</v>
      </c>
      <c r="G29" s="42">
        <v>32.299627416274497</v>
      </c>
    </row>
    <row r="30" spans="1:7" ht="15" x14ac:dyDescent="0.25">
      <c r="A30" s="42">
        <v>28</v>
      </c>
      <c r="B30" s="42">
        <v>7.0981372376327903</v>
      </c>
      <c r="C30" s="42">
        <v>0.29588522486116597</v>
      </c>
      <c r="D30" s="42">
        <v>5.2887672095452096</v>
      </c>
      <c r="E30" s="42">
        <v>8.5919835116856601E-3</v>
      </c>
      <c r="F30" s="42">
        <v>100</v>
      </c>
      <c r="G30" s="42">
        <v>35.591104544845201</v>
      </c>
    </row>
    <row r="31" spans="1:7" ht="15" x14ac:dyDescent="0.25">
      <c r="A31" s="42">
        <v>29</v>
      </c>
      <c r="B31" s="42">
        <v>7.0752165911359501</v>
      </c>
      <c r="C31" s="42">
        <v>0.29596911471791099</v>
      </c>
      <c r="D31" s="42">
        <v>5.2875360653369201</v>
      </c>
      <c r="E31" s="42">
        <v>8.7555385837063092E-3</v>
      </c>
      <c r="F31" s="42">
        <v>100</v>
      </c>
      <c r="G31" s="42">
        <v>42.895788678935901</v>
      </c>
    </row>
    <row r="32" spans="1:7" ht="15.75" thickBot="1" x14ac:dyDescent="0.3">
      <c r="A32" s="43">
        <v>30</v>
      </c>
      <c r="B32" s="43">
        <v>7.03673896487678</v>
      </c>
      <c r="C32" s="43">
        <v>0.30878585186246599</v>
      </c>
      <c r="D32" s="43">
        <v>5.1034260664855298</v>
      </c>
      <c r="E32" s="43">
        <v>8.4849839679640195E-3</v>
      </c>
      <c r="F32" s="43">
        <v>100</v>
      </c>
      <c r="G32" s="43">
        <v>35.560849507650197</v>
      </c>
    </row>
    <row r="33" spans="1:8" ht="16.5" thickTop="1" thickBot="1" x14ac:dyDescent="0.3">
      <c r="A33" s="46" t="s">
        <v>9</v>
      </c>
      <c r="B33" s="47">
        <f>AVERAGE(B3:B32)</f>
        <v>7.1122381914897597</v>
      </c>
      <c r="C33" s="47">
        <f t="shared" ref="C33:G33" si="0">AVERAGE(C3:C32)</f>
        <v>0.30059497546428565</v>
      </c>
      <c r="D33" s="47">
        <f t="shared" si="0"/>
        <v>5.2208948586683874</v>
      </c>
      <c r="E33" s="47">
        <f t="shared" si="0"/>
        <v>8.6737362832732326E-3</v>
      </c>
      <c r="F33" s="47">
        <f t="shared" si="0"/>
        <v>99.485955000000004</v>
      </c>
      <c r="G33" s="47">
        <f t="shared" si="0"/>
        <v>33.754838744798306</v>
      </c>
      <c r="H33" s="22"/>
    </row>
    <row r="34" spans="1:8" ht="15" thickTop="1" x14ac:dyDescent="0.2">
      <c r="F34" s="9"/>
      <c r="G34" s="9"/>
    </row>
    <row r="35" spans="1:8" x14ac:dyDescent="0.2">
      <c r="F35" s="9"/>
      <c r="G35" s="9"/>
    </row>
    <row r="36" spans="1:8" x14ac:dyDescent="0.2">
      <c r="F36" s="9"/>
      <c r="G36" s="9"/>
    </row>
    <row r="37" spans="1:8" x14ac:dyDescent="0.2">
      <c r="B37">
        <v>7.1122381914897597</v>
      </c>
      <c r="C37">
        <v>0.30059497546428565</v>
      </c>
      <c r="D37">
        <v>5.2208948586683874</v>
      </c>
      <c r="E37">
        <v>8.6737362832732326E-3</v>
      </c>
      <c r="F37" s="9">
        <v>99.485954920450851</v>
      </c>
      <c r="G37" s="9">
        <v>33.754838744798306</v>
      </c>
    </row>
    <row r="38" spans="1:8" x14ac:dyDescent="0.2">
      <c r="F38" s="9"/>
      <c r="G38" s="9"/>
    </row>
    <row r="39" spans="1:8" x14ac:dyDescent="0.2">
      <c r="F39" s="9"/>
      <c r="G39" s="9"/>
    </row>
    <row r="40" spans="1:8" x14ac:dyDescent="0.2">
      <c r="F40" s="9"/>
      <c r="G40" s="9"/>
    </row>
    <row r="41" spans="1:8" x14ac:dyDescent="0.2">
      <c r="F41" s="9"/>
      <c r="G41" s="9"/>
    </row>
    <row r="42" spans="1:8" x14ac:dyDescent="0.2">
      <c r="F42" s="9"/>
      <c r="G42" s="9"/>
    </row>
    <row r="43" spans="1:8" x14ac:dyDescent="0.2">
      <c r="F43" s="9"/>
      <c r="G43" s="9"/>
    </row>
    <row r="44" spans="1:8" x14ac:dyDescent="0.2">
      <c r="F44" s="9"/>
      <c r="G44" s="9"/>
    </row>
    <row r="45" spans="1:8" x14ac:dyDescent="0.2">
      <c r="F45" s="9"/>
      <c r="G45" s="9"/>
    </row>
    <row r="46" spans="1:8" x14ac:dyDescent="0.2">
      <c r="F46" s="9"/>
      <c r="G46" s="9"/>
    </row>
    <row r="47" spans="1:8" x14ac:dyDescent="0.2">
      <c r="F47" s="9"/>
      <c r="G47" s="9"/>
    </row>
    <row r="48" spans="1:8" x14ac:dyDescent="0.2">
      <c r="F48" s="9"/>
      <c r="G48" s="9"/>
    </row>
    <row r="49" spans="6:7" x14ac:dyDescent="0.2">
      <c r="F49" s="9"/>
      <c r="G49" s="9"/>
    </row>
    <row r="50" spans="6:7" x14ac:dyDescent="0.2">
      <c r="F50" s="9"/>
      <c r="G50" s="9"/>
    </row>
    <row r="51" spans="6:7" x14ac:dyDescent="0.2">
      <c r="F51" s="9"/>
      <c r="G51" s="9"/>
    </row>
    <row r="52" spans="6:7" x14ac:dyDescent="0.2">
      <c r="F52" s="9"/>
      <c r="G52" s="9"/>
    </row>
    <row r="53" spans="6:7" x14ac:dyDescent="0.2">
      <c r="F53" s="9"/>
      <c r="G53" s="9"/>
    </row>
    <row r="54" spans="6:7" x14ac:dyDescent="0.2">
      <c r="F54" s="9"/>
      <c r="G54" s="9"/>
    </row>
    <row r="55" spans="6:7" x14ac:dyDescent="0.2">
      <c r="F55" s="9"/>
      <c r="G55" s="9"/>
    </row>
    <row r="56" spans="6:7" x14ac:dyDescent="0.2">
      <c r="F56" s="9"/>
      <c r="G56" s="9"/>
    </row>
    <row r="57" spans="6:7" x14ac:dyDescent="0.2">
      <c r="F57" s="9"/>
      <c r="G57" s="9"/>
    </row>
    <row r="58" spans="6:7" x14ac:dyDescent="0.2">
      <c r="F58" s="9"/>
      <c r="G58" s="9"/>
    </row>
    <row r="59" spans="6:7" x14ac:dyDescent="0.2">
      <c r="F59" s="9"/>
      <c r="G59" s="9"/>
    </row>
    <row r="60" spans="6:7" x14ac:dyDescent="0.2">
      <c r="F60" s="9"/>
      <c r="G60" s="9"/>
    </row>
    <row r="61" spans="6:7" x14ac:dyDescent="0.2">
      <c r="F61" s="9"/>
      <c r="G61" s="9"/>
    </row>
    <row r="62" spans="6:7" x14ac:dyDescent="0.2">
      <c r="F62" s="9"/>
      <c r="G62" s="9"/>
    </row>
  </sheetData>
  <mergeCells count="1">
    <mergeCell ref="A1:G1"/>
  </mergeCells>
  <pageMargins left="0.7" right="0.7" top="0.75" bottom="0.75" header="0.3" footer="0.3"/>
  <pageSetup paperSize="9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BD7E-FBCC-411D-A14E-4F058C88D966}">
  <sheetPr>
    <tabColor rgb="FFFFFF00"/>
  </sheetPr>
  <dimension ref="A1:G62"/>
  <sheetViews>
    <sheetView zoomScale="90" zoomScaleNormal="90" workbookViewId="0">
      <selection activeCell="J11" sqref="J11"/>
    </sheetView>
  </sheetViews>
  <sheetFormatPr defaultRowHeight="14.25" x14ac:dyDescent="0.2"/>
  <cols>
    <col min="1" max="1" width="10.125" bestFit="1" customWidth="1"/>
    <col min="2" max="7" width="11.875" bestFit="1" customWidth="1"/>
  </cols>
  <sheetData>
    <row r="1" spans="1:7" x14ac:dyDescent="0.2">
      <c r="A1" s="53" t="s">
        <v>7</v>
      </c>
      <c r="B1" s="53"/>
      <c r="C1" s="53"/>
      <c r="D1" s="53"/>
      <c r="E1" s="53"/>
      <c r="F1" s="53"/>
      <c r="G1" s="53"/>
    </row>
    <row r="2" spans="1:7" x14ac:dyDescent="0.2">
      <c r="A2" s="41" t="s">
        <v>0</v>
      </c>
      <c r="B2" s="41" t="s">
        <v>8</v>
      </c>
      <c r="C2" s="41" t="s">
        <v>11</v>
      </c>
      <c r="D2" s="41" t="s">
        <v>12</v>
      </c>
      <c r="E2" s="41" t="s">
        <v>13</v>
      </c>
      <c r="F2" s="41" t="s">
        <v>14</v>
      </c>
      <c r="G2" s="41" t="s">
        <v>15</v>
      </c>
    </row>
    <row r="3" spans="1:7" ht="15" x14ac:dyDescent="0.25">
      <c r="A3" s="42">
        <v>1</v>
      </c>
      <c r="B3" s="42">
        <v>7.2954594304790099</v>
      </c>
      <c r="C3" s="42">
        <v>0.28940175034091498</v>
      </c>
      <c r="D3" s="42">
        <v>5.3849884653729303</v>
      </c>
      <c r="E3" s="42">
        <v>1.41301551152003E-3</v>
      </c>
      <c r="F3" s="42">
        <v>95.0927734375</v>
      </c>
      <c r="G3" s="42">
        <v>33.560719209560503</v>
      </c>
    </row>
    <row r="4" spans="1:7" ht="15" x14ac:dyDescent="0.25">
      <c r="A4" s="42">
        <v>2</v>
      </c>
      <c r="B4" s="42">
        <v>7.2476860129163798</v>
      </c>
      <c r="C4" s="42">
        <v>0.28481603191981397</v>
      </c>
      <c r="D4" s="42">
        <v>5.4543556848199</v>
      </c>
      <c r="E4" s="42">
        <v>7.9747666720066997E-3</v>
      </c>
      <c r="F4" s="42">
        <v>98.583984375</v>
      </c>
      <c r="G4" s="42">
        <v>33.426729090073799</v>
      </c>
    </row>
    <row r="5" spans="1:7" ht="15" x14ac:dyDescent="0.25">
      <c r="A5" s="42">
        <v>3</v>
      </c>
      <c r="B5" s="42">
        <v>7.2088124288842303</v>
      </c>
      <c r="C5" s="42">
        <v>0.28502366314938998</v>
      </c>
      <c r="D5" s="42">
        <v>5.4511908262800004</v>
      </c>
      <c r="E5" s="42">
        <v>8.3992645390998707E-3</v>
      </c>
      <c r="F5" s="42">
        <v>97.03369140625</v>
      </c>
      <c r="G5" s="42">
        <v>33.278593175552302</v>
      </c>
    </row>
    <row r="6" spans="1:7" ht="15" x14ac:dyDescent="0.25">
      <c r="A6" s="42">
        <v>4</v>
      </c>
      <c r="B6" s="42">
        <v>7.25856829235983</v>
      </c>
      <c r="C6" s="42">
        <v>0.28026423881439799</v>
      </c>
      <c r="D6" s="42">
        <v>5.5243231385722096</v>
      </c>
      <c r="E6" s="42">
        <v>7.1412505615209296E-3</v>
      </c>
      <c r="F6" s="42">
        <v>100</v>
      </c>
      <c r="G6" s="42">
        <v>33.581734451593199</v>
      </c>
    </row>
    <row r="7" spans="1:7" ht="15" x14ac:dyDescent="0.25">
      <c r="A7" s="42">
        <v>5</v>
      </c>
      <c r="B7" s="42">
        <v>7.2522764382364899</v>
      </c>
      <c r="C7" s="42">
        <v>0.28686725714719102</v>
      </c>
      <c r="D7" s="42">
        <v>5.4231901903109998</v>
      </c>
      <c r="E7" s="42">
        <v>5.0148818800659703E-3</v>
      </c>
      <c r="F7" s="42">
        <v>98.93798828125</v>
      </c>
      <c r="G7" s="42">
        <v>33.735112208946298</v>
      </c>
    </row>
    <row r="8" spans="1:7" ht="15" x14ac:dyDescent="0.25">
      <c r="A8" s="42">
        <v>6</v>
      </c>
      <c r="B8" s="42">
        <v>7.2703131659557796</v>
      </c>
      <c r="C8" s="42">
        <v>0.28253613206158701</v>
      </c>
      <c r="D8" s="42">
        <v>5.4892600465324</v>
      </c>
      <c r="E8" s="42">
        <v>8.6351559067938798E-3</v>
      </c>
      <c r="F8" s="42">
        <v>100</v>
      </c>
      <c r="G8" s="42">
        <v>33.763379863663999</v>
      </c>
    </row>
    <row r="9" spans="1:7" ht="15" x14ac:dyDescent="0.25">
      <c r="A9" s="42">
        <v>7</v>
      </c>
      <c r="B9" s="42">
        <v>7.3478404449862902</v>
      </c>
      <c r="C9" s="42">
        <v>0.27807625447544199</v>
      </c>
      <c r="D9" s="42">
        <v>5.5583609488477501</v>
      </c>
      <c r="E9" s="42">
        <v>1.4107100441849801E-2</v>
      </c>
      <c r="F9" s="42">
        <v>100</v>
      </c>
      <c r="G9" s="42">
        <v>33.582787607230202</v>
      </c>
    </row>
    <row r="10" spans="1:7" ht="15" x14ac:dyDescent="0.25">
      <c r="A10" s="42">
        <v>8</v>
      </c>
      <c r="B10" s="42">
        <v>7.2815918011917997</v>
      </c>
      <c r="C10" s="42">
        <v>0.27907260541318202</v>
      </c>
      <c r="D10" s="42">
        <v>5.54282793041315</v>
      </c>
      <c r="E10" s="42">
        <v>8.9678970303883297E-3</v>
      </c>
      <c r="F10" s="42">
        <v>95.556640625</v>
      </c>
      <c r="G10" s="42">
        <v>33.353008195466799</v>
      </c>
    </row>
    <row r="11" spans="1:7" ht="15" x14ac:dyDescent="0.25">
      <c r="A11" s="42">
        <v>9</v>
      </c>
      <c r="B11" s="42">
        <v>7.3109823429684404</v>
      </c>
      <c r="C11" s="42">
        <v>0.28136992457828702</v>
      </c>
      <c r="D11" s="42">
        <v>5.5072232583424396</v>
      </c>
      <c r="E11" s="42">
        <v>1.02659217942218E-2</v>
      </c>
      <c r="F11" s="42">
        <v>100</v>
      </c>
      <c r="G11" s="42">
        <v>33.154991000306097</v>
      </c>
    </row>
    <row r="12" spans="1:7" ht="15" x14ac:dyDescent="0.25">
      <c r="A12" s="42">
        <v>10</v>
      </c>
      <c r="B12" s="42">
        <v>7.3745276246855296</v>
      </c>
      <c r="C12" s="42">
        <v>0.29892819825157402</v>
      </c>
      <c r="D12" s="42">
        <v>5.2443311551463898</v>
      </c>
      <c r="E12" s="42">
        <v>7.5502635411758799E-3</v>
      </c>
      <c r="F12" s="42">
        <v>97.71728515625</v>
      </c>
      <c r="G12" s="42">
        <v>33.091011795343803</v>
      </c>
    </row>
    <row r="13" spans="1:7" ht="15" x14ac:dyDescent="0.25">
      <c r="A13" s="42">
        <v>11</v>
      </c>
      <c r="B13" s="42">
        <v>7.2592353824289599</v>
      </c>
      <c r="C13" s="42">
        <v>0.30217416941500902</v>
      </c>
      <c r="D13" s="42">
        <v>5.1974266296187501</v>
      </c>
      <c r="E13" s="42">
        <v>1.15173962512578E-2</v>
      </c>
      <c r="F13" s="42">
        <v>99.237060546875</v>
      </c>
      <c r="G13" s="42">
        <v>33.2277544806986</v>
      </c>
    </row>
    <row r="14" spans="1:7" ht="15" x14ac:dyDescent="0.25">
      <c r="A14" s="42">
        <v>12</v>
      </c>
      <c r="B14" s="42">
        <v>7.0452962369866299</v>
      </c>
      <c r="C14" s="42">
        <v>0.30036658357813101</v>
      </c>
      <c r="D14" s="42">
        <v>5.2234838516610598</v>
      </c>
      <c r="E14" s="42">
        <v>9.3273208376017502E-3</v>
      </c>
      <c r="F14" s="42">
        <v>100</v>
      </c>
      <c r="G14" s="42">
        <v>33.4038708256737</v>
      </c>
    </row>
    <row r="15" spans="1:7" ht="15" x14ac:dyDescent="0.25">
      <c r="A15" s="42">
        <v>13</v>
      </c>
      <c r="B15" s="42">
        <v>7.2827097743922797</v>
      </c>
      <c r="C15" s="42">
        <v>0.29818484589761202</v>
      </c>
      <c r="D15" s="42">
        <v>5.2551443167537499</v>
      </c>
      <c r="E15" s="42">
        <v>1.06113306782963E-2</v>
      </c>
      <c r="F15" s="42">
        <v>96.710205078125</v>
      </c>
      <c r="G15" s="42">
        <v>33.1241383272069</v>
      </c>
    </row>
    <row r="16" spans="1:7" ht="15" x14ac:dyDescent="0.25">
      <c r="A16" s="42">
        <v>14</v>
      </c>
      <c r="B16" s="42">
        <v>7.3284785263215504</v>
      </c>
      <c r="C16" s="42">
        <v>0.29804891466773598</v>
      </c>
      <c r="D16" s="42">
        <v>5.2571245529624404</v>
      </c>
      <c r="E16" s="42">
        <v>3.0451324200773001E-3</v>
      </c>
      <c r="F16" s="42">
        <v>98.3154296875</v>
      </c>
      <c r="G16" s="42">
        <v>33.405259076287102</v>
      </c>
    </row>
    <row r="17" spans="1:7" ht="15" x14ac:dyDescent="0.25">
      <c r="A17" s="42">
        <v>15</v>
      </c>
      <c r="B17" s="42">
        <v>7.24229022393191</v>
      </c>
      <c r="C17" s="42">
        <v>0.28654893757058603</v>
      </c>
      <c r="D17" s="42">
        <v>5.4280119742465001</v>
      </c>
      <c r="E17" s="42">
        <v>4.9173168083165098E-3</v>
      </c>
      <c r="F17" s="42">
        <v>100</v>
      </c>
      <c r="G17" s="42">
        <v>33.567421109069102</v>
      </c>
    </row>
    <row r="18" spans="1:7" ht="15" x14ac:dyDescent="0.25">
      <c r="A18" s="42">
        <v>16</v>
      </c>
      <c r="B18" s="42">
        <v>7.1772545175702698</v>
      </c>
      <c r="C18" s="42">
        <v>0.28877371195874202</v>
      </c>
      <c r="D18" s="42">
        <v>5.3944234458887896</v>
      </c>
      <c r="E18" s="42">
        <v>7.9036349907994595E-3</v>
      </c>
      <c r="F18" s="42">
        <v>97.723388671875</v>
      </c>
      <c r="G18" s="42">
        <v>33.749569163603503</v>
      </c>
    </row>
    <row r="19" spans="1:7" ht="15" x14ac:dyDescent="0.25">
      <c r="A19" s="42">
        <v>17</v>
      </c>
      <c r="B19" s="42">
        <v>7.1517767976056001</v>
      </c>
      <c r="C19" s="42">
        <v>0.28736439072412101</v>
      </c>
      <c r="D19" s="42">
        <v>5.4156704925036996</v>
      </c>
      <c r="E19" s="42">
        <v>3.6583518727927801E-3</v>
      </c>
      <c r="F19" s="42">
        <v>98.9013671875</v>
      </c>
      <c r="G19" s="42">
        <v>33.300470090380102</v>
      </c>
    </row>
    <row r="20" spans="1:7" ht="15" x14ac:dyDescent="0.25">
      <c r="A20" s="42">
        <v>18</v>
      </c>
      <c r="B20" s="42">
        <v>7.2695109504299298</v>
      </c>
      <c r="C20" s="42">
        <v>0.28624334597120099</v>
      </c>
      <c r="D20" s="42">
        <v>5.4326460016848603</v>
      </c>
      <c r="E20" s="42">
        <v>1.2402773555794E-2</v>
      </c>
      <c r="F20" s="42">
        <v>99.67041015625</v>
      </c>
      <c r="G20" s="42">
        <v>33.559953278186697</v>
      </c>
    </row>
    <row r="21" spans="1:7" ht="15" x14ac:dyDescent="0.25">
      <c r="A21" s="42">
        <v>19</v>
      </c>
      <c r="B21" s="42">
        <v>7.2694539351962897</v>
      </c>
      <c r="C21" s="42">
        <v>0.288295710709222</v>
      </c>
      <c r="D21" s="42">
        <v>5.4016181903799296</v>
      </c>
      <c r="E21" s="42">
        <v>9.3731383945186205E-3</v>
      </c>
      <c r="F21" s="42">
        <v>100</v>
      </c>
      <c r="G21" s="42">
        <v>34.641927083336398</v>
      </c>
    </row>
    <row r="22" spans="1:7" ht="15" x14ac:dyDescent="0.25">
      <c r="A22" s="42">
        <v>20</v>
      </c>
      <c r="B22" s="42">
        <v>7.3162589203132002</v>
      </c>
      <c r="C22" s="42">
        <v>0.27960178890030302</v>
      </c>
      <c r="D22" s="42">
        <v>5.5346005428885698</v>
      </c>
      <c r="E22" s="42">
        <v>1.04596428023237E-2</v>
      </c>
      <c r="F22" s="42">
        <v>100</v>
      </c>
      <c r="G22" s="42">
        <v>33.279574525122399</v>
      </c>
    </row>
    <row r="23" spans="1:7" ht="15" x14ac:dyDescent="0.25">
      <c r="A23" s="42">
        <v>21</v>
      </c>
      <c r="B23" s="42">
        <v>7.1734427755955004</v>
      </c>
      <c r="C23" s="42">
        <v>0.28085856025927503</v>
      </c>
      <c r="D23" s="42">
        <v>5.5151233476910697</v>
      </c>
      <c r="E23" s="42">
        <v>1.18529545914247E-2</v>
      </c>
      <c r="F23" s="42">
        <v>99.42626953125</v>
      </c>
      <c r="G23" s="42">
        <v>33.340777228860297</v>
      </c>
    </row>
    <row r="24" spans="1:7" ht="15" x14ac:dyDescent="0.25">
      <c r="A24" s="42">
        <v>22</v>
      </c>
      <c r="B24" s="42">
        <v>7.2824421219176196</v>
      </c>
      <c r="C24" s="42">
        <v>0.282593765581447</v>
      </c>
      <c r="D24" s="42">
        <v>5.4883742353290197</v>
      </c>
      <c r="E24" s="42">
        <v>4.8605044749150004E-3</v>
      </c>
      <c r="F24" s="42">
        <v>100</v>
      </c>
      <c r="G24" s="42">
        <v>33.403942631740001</v>
      </c>
    </row>
    <row r="25" spans="1:7" ht="15" x14ac:dyDescent="0.25">
      <c r="A25" s="42">
        <v>23</v>
      </c>
      <c r="B25" s="42">
        <v>7.22006266472156</v>
      </c>
      <c r="C25" s="42">
        <v>0.277355953276684</v>
      </c>
      <c r="D25" s="42">
        <v>5.5696250781844299</v>
      </c>
      <c r="E25" s="42">
        <v>1.0179956426857701E-2</v>
      </c>
      <c r="F25" s="42">
        <v>99.407958984375</v>
      </c>
      <c r="G25" s="42">
        <v>33.510048062193597</v>
      </c>
    </row>
    <row r="26" spans="1:7" ht="15" x14ac:dyDescent="0.25">
      <c r="A26" s="42">
        <v>24</v>
      </c>
      <c r="B26" s="42">
        <v>7.3853444632249596</v>
      </c>
      <c r="C26" s="42">
        <v>0.27653390616739998</v>
      </c>
      <c r="D26" s="42">
        <v>5.5825161170602602</v>
      </c>
      <c r="E26" s="42">
        <v>1.0261215537142701E-2</v>
      </c>
      <c r="F26" s="42">
        <v>98.486328125</v>
      </c>
      <c r="G26" s="42">
        <v>33.582476447610603</v>
      </c>
    </row>
    <row r="27" spans="1:7" ht="15" x14ac:dyDescent="0.25">
      <c r="A27" s="42">
        <v>25</v>
      </c>
      <c r="B27" s="42">
        <v>7.1947098208122897</v>
      </c>
      <c r="C27" s="42">
        <v>0.3018434034536</v>
      </c>
      <c r="D27" s="42">
        <v>5.2021831086568797</v>
      </c>
      <c r="E27" s="42">
        <v>6.1752821032492198E-3</v>
      </c>
      <c r="F27" s="42">
        <v>100</v>
      </c>
      <c r="G27" s="42">
        <v>33.346449908088402</v>
      </c>
    </row>
    <row r="28" spans="1:7" ht="15" x14ac:dyDescent="0.25">
      <c r="A28" s="42">
        <v>26</v>
      </c>
      <c r="B28" s="42">
        <v>7.3374407406818003</v>
      </c>
      <c r="C28" s="42">
        <v>0.28096401943513299</v>
      </c>
      <c r="D28" s="42">
        <v>5.5134929276853901</v>
      </c>
      <c r="E28" s="42">
        <v>8.9037651288281696E-3</v>
      </c>
      <c r="F28" s="42">
        <v>100</v>
      </c>
      <c r="G28" s="42">
        <v>33.332232306985098</v>
      </c>
    </row>
    <row r="29" spans="1:7" ht="15" x14ac:dyDescent="0.25">
      <c r="A29" s="42">
        <v>27</v>
      </c>
      <c r="B29" s="42">
        <v>7.30869813287332</v>
      </c>
      <c r="C29" s="42">
        <v>0.284076506406791</v>
      </c>
      <c r="D29" s="42">
        <v>5.4656468165822396</v>
      </c>
      <c r="E29" s="42">
        <v>7.2268509882729799E-3</v>
      </c>
      <c r="F29" s="42">
        <v>97.32666015625</v>
      </c>
      <c r="G29" s="42">
        <v>33.500114889707604</v>
      </c>
    </row>
    <row r="30" spans="1:7" ht="15" x14ac:dyDescent="0.25">
      <c r="A30" s="42">
        <v>28</v>
      </c>
      <c r="B30" s="42">
        <v>7.2990979613175302</v>
      </c>
      <c r="C30" s="42">
        <v>0.284359461730464</v>
      </c>
      <c r="D30" s="42">
        <v>5.4613231652746501</v>
      </c>
      <c r="E30" s="42">
        <v>7.8410806667702192E-3</v>
      </c>
      <c r="F30" s="42">
        <v>80.767822265625</v>
      </c>
      <c r="G30" s="42">
        <v>32.182808670343498</v>
      </c>
    </row>
    <row r="31" spans="1:7" ht="15" x14ac:dyDescent="0.25">
      <c r="A31" s="42">
        <v>29</v>
      </c>
      <c r="B31" s="42">
        <v>7.2088657028491001</v>
      </c>
      <c r="C31" s="42">
        <v>0.273524183532175</v>
      </c>
      <c r="D31" s="42">
        <v>5.6300426965865498</v>
      </c>
      <c r="E31" s="42">
        <v>1.1249724543980801E-2</v>
      </c>
      <c r="F31" s="42">
        <v>78.558349609375</v>
      </c>
      <c r="G31" s="42">
        <v>31.829427083333599</v>
      </c>
    </row>
    <row r="32" spans="1:7" ht="15.75" thickBot="1" x14ac:dyDescent="0.3">
      <c r="A32" s="43">
        <v>30</v>
      </c>
      <c r="B32" s="43">
        <v>7.2404017414055497</v>
      </c>
      <c r="C32" s="43">
        <v>0.29523936200169398</v>
      </c>
      <c r="D32" s="43">
        <v>5.2982574183365498</v>
      </c>
      <c r="E32" s="43">
        <v>1.13781962142079E-2</v>
      </c>
      <c r="F32" s="43">
        <v>95.660400390625</v>
      </c>
      <c r="G32" s="43">
        <v>33.386134727329498</v>
      </c>
    </row>
    <row r="33" spans="1:7" ht="15.75" thickTop="1" thickBot="1" x14ac:dyDescent="0.25">
      <c r="A33" s="46" t="s">
        <v>9</v>
      </c>
      <c r="B33" s="47">
        <f>AVERAGE(B3:B32)</f>
        <v>7.2613609791079874</v>
      </c>
      <c r="C33" s="47">
        <f t="shared" ref="C33:G33" si="0">AVERAGE(C3:C32)</f>
        <v>0.28664358591297018</v>
      </c>
      <c r="D33" s="47">
        <f t="shared" si="0"/>
        <v>5.4282262184871177</v>
      </c>
      <c r="E33" s="47">
        <f t="shared" si="0"/>
        <v>8.4205029055356932E-3</v>
      </c>
      <c r="F33" s="47">
        <f t="shared" si="0"/>
        <v>97.4371337890625</v>
      </c>
      <c r="G33" s="47">
        <f t="shared" si="0"/>
        <v>33.373413883783122</v>
      </c>
    </row>
    <row r="34" spans="1:7" ht="15.75" thickTop="1" x14ac:dyDescent="0.25">
      <c r="A34" s="48"/>
      <c r="B34" s="48"/>
      <c r="C34" s="48"/>
      <c r="D34" s="48"/>
      <c r="E34" s="48"/>
      <c r="F34" s="49"/>
      <c r="G34" s="49"/>
    </row>
    <row r="35" spans="1:7" ht="15" x14ac:dyDescent="0.25">
      <c r="A35" s="48"/>
      <c r="B35" s="48"/>
      <c r="C35" s="48"/>
      <c r="D35" s="48"/>
      <c r="E35" s="48"/>
      <c r="F35" s="49"/>
      <c r="G35" s="49"/>
    </row>
    <row r="36" spans="1:7" ht="15" x14ac:dyDescent="0.25">
      <c r="A36" s="48" t="s">
        <v>9</v>
      </c>
      <c r="B36" s="48">
        <v>7.2613609791079874</v>
      </c>
      <c r="C36" s="48">
        <v>0.28664358591297018</v>
      </c>
      <c r="D36" s="48">
        <v>5.4282262184871177</v>
      </c>
      <c r="E36" s="48">
        <v>8.4205029055356932E-3</v>
      </c>
      <c r="F36" s="49">
        <v>97.4371337890625</v>
      </c>
      <c r="G36" s="49">
        <v>33.373413883783122</v>
      </c>
    </row>
    <row r="37" spans="1:7" ht="15" x14ac:dyDescent="0.25">
      <c r="A37" s="48"/>
      <c r="B37" s="48"/>
      <c r="C37" s="48"/>
      <c r="D37" s="48"/>
      <c r="E37" s="48"/>
      <c r="F37" s="49"/>
      <c r="G37" s="49"/>
    </row>
    <row r="38" spans="1:7" ht="15" x14ac:dyDescent="0.25">
      <c r="A38" s="48"/>
      <c r="B38" s="48"/>
      <c r="C38" s="48"/>
      <c r="D38" s="48"/>
      <c r="E38" s="48"/>
      <c r="F38" s="49"/>
      <c r="G38" s="49"/>
    </row>
    <row r="39" spans="1:7" ht="15" x14ac:dyDescent="0.25">
      <c r="A39" s="48"/>
      <c r="B39" s="48"/>
      <c r="C39" s="48"/>
      <c r="D39" s="48"/>
      <c r="E39" s="48"/>
      <c r="F39" s="49"/>
      <c r="G39" s="49"/>
    </row>
    <row r="40" spans="1:7" ht="15" x14ac:dyDescent="0.25">
      <c r="A40" s="48"/>
      <c r="B40" s="48"/>
      <c r="C40" s="48"/>
      <c r="D40" s="48"/>
      <c r="E40" s="48"/>
      <c r="F40" s="49"/>
      <c r="G40" s="49"/>
    </row>
    <row r="41" spans="1:7" ht="15" x14ac:dyDescent="0.25">
      <c r="A41" s="48"/>
      <c r="B41" s="48"/>
      <c r="C41" s="48"/>
      <c r="D41" s="48"/>
      <c r="E41" s="48"/>
      <c r="F41" s="49"/>
      <c r="G41" s="49"/>
    </row>
    <row r="42" spans="1:7" ht="15" x14ac:dyDescent="0.25">
      <c r="A42" s="48"/>
      <c r="B42" s="48"/>
      <c r="C42" s="48"/>
      <c r="D42" s="48"/>
      <c r="E42" s="48"/>
      <c r="F42" s="49"/>
      <c r="G42" s="49"/>
    </row>
    <row r="43" spans="1:7" ht="15" x14ac:dyDescent="0.25">
      <c r="A43" s="48"/>
      <c r="B43" s="48"/>
      <c r="C43" s="48"/>
      <c r="D43" s="48"/>
      <c r="E43" s="48"/>
      <c r="F43" s="49"/>
      <c r="G43" s="49"/>
    </row>
    <row r="44" spans="1:7" ht="15" x14ac:dyDescent="0.25">
      <c r="A44" s="48"/>
      <c r="B44" s="48"/>
      <c r="C44" s="48"/>
      <c r="D44" s="48"/>
      <c r="E44" s="48"/>
      <c r="F44" s="49"/>
      <c r="G44" s="49"/>
    </row>
    <row r="45" spans="1:7" ht="15" x14ac:dyDescent="0.25">
      <c r="A45" s="48"/>
      <c r="B45" s="48"/>
      <c r="C45" s="48"/>
      <c r="D45" s="48"/>
      <c r="E45" s="48"/>
      <c r="F45" s="49"/>
      <c r="G45" s="49"/>
    </row>
    <row r="46" spans="1:7" ht="15" x14ac:dyDescent="0.25">
      <c r="A46" s="48"/>
      <c r="B46" s="48"/>
      <c r="C46" s="48"/>
      <c r="D46" s="48"/>
      <c r="E46" s="48"/>
      <c r="F46" s="49"/>
      <c r="G46" s="49"/>
    </row>
    <row r="47" spans="1:7" x14ac:dyDescent="0.2">
      <c r="F47" s="9"/>
      <c r="G47" s="9"/>
    </row>
    <row r="48" spans="1:7" x14ac:dyDescent="0.2">
      <c r="F48" s="9"/>
      <c r="G48" s="9"/>
    </row>
    <row r="49" spans="6:7" x14ac:dyDescent="0.2">
      <c r="F49" s="9"/>
      <c r="G49" s="9"/>
    </row>
    <row r="50" spans="6:7" x14ac:dyDescent="0.2">
      <c r="F50" s="9"/>
      <c r="G50" s="9"/>
    </row>
    <row r="51" spans="6:7" x14ac:dyDescent="0.2">
      <c r="F51" s="9"/>
      <c r="G51" s="9"/>
    </row>
    <row r="52" spans="6:7" x14ac:dyDescent="0.2">
      <c r="F52" s="9"/>
      <c r="G52" s="9"/>
    </row>
    <row r="53" spans="6:7" x14ac:dyDescent="0.2">
      <c r="F53" s="9"/>
      <c r="G53" s="9"/>
    </row>
    <row r="54" spans="6:7" x14ac:dyDescent="0.2">
      <c r="F54" s="9"/>
      <c r="G54" s="9"/>
    </row>
    <row r="55" spans="6:7" x14ac:dyDescent="0.2">
      <c r="F55" s="9"/>
      <c r="G55" s="9"/>
    </row>
    <row r="56" spans="6:7" x14ac:dyDescent="0.2">
      <c r="F56" s="9"/>
      <c r="G56" s="9"/>
    </row>
    <row r="57" spans="6:7" x14ac:dyDescent="0.2">
      <c r="F57" s="9"/>
      <c r="G57" s="9"/>
    </row>
    <row r="58" spans="6:7" x14ac:dyDescent="0.2">
      <c r="F58" s="9"/>
      <c r="G58" s="9"/>
    </row>
    <row r="59" spans="6:7" x14ac:dyDescent="0.2">
      <c r="F59" s="9"/>
      <c r="G59" s="9"/>
    </row>
    <row r="60" spans="6:7" x14ac:dyDescent="0.2">
      <c r="F60" s="9"/>
      <c r="G60" s="9"/>
    </row>
    <row r="61" spans="6:7" x14ac:dyDescent="0.2">
      <c r="F61" s="9"/>
      <c r="G61" s="9"/>
    </row>
    <row r="62" spans="6:7" x14ac:dyDescent="0.2">
      <c r="F62" s="9"/>
      <c r="G62" s="9"/>
    </row>
  </sheetData>
  <mergeCells count="1">
    <mergeCell ref="A1:G1"/>
  </mergeCells>
  <pageMargins left="0.25" right="0.25" top="0.75" bottom="0.75" header="0.3" footer="0.3"/>
  <pageSetup paperSize="9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4D8D-A736-47AC-A668-63E51BE74E01}">
  <sheetPr>
    <tabColor rgb="FFFFC000"/>
  </sheetPr>
  <dimension ref="A1:L34"/>
  <sheetViews>
    <sheetView zoomScale="70" zoomScaleNormal="70" workbookViewId="0">
      <selection activeCell="K13" sqref="A1:K13"/>
    </sheetView>
  </sheetViews>
  <sheetFormatPr defaultRowHeight="14.25" x14ac:dyDescent="0.2"/>
  <cols>
    <col min="1" max="1" width="9.5" style="1" bestFit="1" customWidth="1"/>
    <col min="2" max="8" width="11.875" style="1" bestFit="1" customWidth="1"/>
    <col min="9" max="9" width="12.625" style="1" bestFit="1" customWidth="1"/>
    <col min="10" max="11" width="9" style="1"/>
    <col min="12" max="12" width="11.875" style="1" bestFit="1" customWidth="1"/>
    <col min="13" max="16384" width="9" style="1"/>
  </cols>
  <sheetData>
    <row r="1" spans="1:8" ht="15" x14ac:dyDescent="0.2">
      <c r="A1" s="52" t="s">
        <v>8</v>
      </c>
      <c r="B1" s="52"/>
      <c r="C1" s="52"/>
      <c r="D1" s="52"/>
      <c r="E1" s="52"/>
      <c r="F1" s="52"/>
      <c r="G1" s="52"/>
      <c r="H1" s="52"/>
    </row>
    <row r="2" spans="1:8" ht="15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2">
      <c r="A3" s="3">
        <v>1</v>
      </c>
      <c r="B3" s="3">
        <v>7.9998170168484801</v>
      </c>
      <c r="C3" s="3">
        <v>7.6323580805188103</v>
      </c>
      <c r="D3" s="3">
        <v>7.9998348056265396</v>
      </c>
      <c r="E3" s="3">
        <v>7.8356835548929498</v>
      </c>
      <c r="F3" s="3">
        <v>7.9998347663359901</v>
      </c>
      <c r="G3" s="3">
        <v>6.7619653745047898</v>
      </c>
      <c r="H3" s="3">
        <v>7.79663296878614</v>
      </c>
    </row>
    <row r="4" spans="1:8" x14ac:dyDescent="0.2">
      <c r="A4" s="3">
        <v>2</v>
      </c>
      <c r="B4" s="3">
        <v>7.9998205277621297</v>
      </c>
      <c r="C4" s="3">
        <v>7.6327951014690898</v>
      </c>
      <c r="D4" s="3">
        <v>7.9998498588210998</v>
      </c>
      <c r="E4" s="3">
        <v>7.8399745948508803</v>
      </c>
      <c r="F4" s="3">
        <v>7.9998240665326596</v>
      </c>
      <c r="G4" s="3">
        <v>6.8936133767401397</v>
      </c>
      <c r="H4" s="3">
        <v>7.7948401356942902</v>
      </c>
    </row>
    <row r="5" spans="1:8" x14ac:dyDescent="0.2">
      <c r="A5" s="3">
        <v>3</v>
      </c>
      <c r="B5" s="3">
        <v>7.9998269784077296</v>
      </c>
      <c r="C5" s="3">
        <v>7.6328432323548796</v>
      </c>
      <c r="D5" s="3">
        <v>7.9998441541162801</v>
      </c>
      <c r="E5" s="3">
        <v>7.8525093486060902</v>
      </c>
      <c r="F5" s="3">
        <v>7.9998052645231601</v>
      </c>
      <c r="G5" s="3">
        <v>6.7890313516744598</v>
      </c>
      <c r="H5" s="3">
        <v>7.7951600436925004</v>
      </c>
    </row>
    <row r="6" spans="1:8" x14ac:dyDescent="0.2">
      <c r="A6" s="3">
        <v>4</v>
      </c>
      <c r="B6" s="3">
        <v>7.9998173974526399</v>
      </c>
      <c r="C6" s="3">
        <v>7.6336156121519796</v>
      </c>
      <c r="D6" s="3">
        <v>7.9998470377627102</v>
      </c>
      <c r="E6" s="3">
        <v>7.8494634963843497</v>
      </c>
      <c r="F6" s="3">
        <v>7.9998287217940396</v>
      </c>
      <c r="G6" s="3">
        <v>6.8172670281206997</v>
      </c>
      <c r="H6" s="3">
        <v>7.7960135603416596</v>
      </c>
    </row>
    <row r="7" spans="1:8" x14ac:dyDescent="0.2">
      <c r="A7" s="3">
        <v>5</v>
      </c>
      <c r="B7" s="3">
        <v>7.9998336388110003</v>
      </c>
      <c r="C7" s="3">
        <v>7.6323018249775103</v>
      </c>
      <c r="D7" s="3">
        <v>7.9998183542845096</v>
      </c>
      <c r="E7" s="3">
        <v>7.8418715224911901</v>
      </c>
      <c r="F7" s="3">
        <v>7.9998032621651101</v>
      </c>
      <c r="G7" s="3">
        <v>6.8299999457542802</v>
      </c>
      <c r="H7" s="3">
        <v>7.7963169507003798</v>
      </c>
    </row>
    <row r="8" spans="1:8" x14ac:dyDescent="0.2">
      <c r="A8" s="3">
        <v>6</v>
      </c>
      <c r="B8" s="3">
        <v>7.9998320894167296</v>
      </c>
      <c r="C8" s="3">
        <v>7.63326266914956</v>
      </c>
      <c r="D8" s="3">
        <v>7.9998432347938104</v>
      </c>
      <c r="E8" s="3">
        <v>7.8531576682694197</v>
      </c>
      <c r="F8" s="3">
        <v>7.9998184562085504</v>
      </c>
      <c r="G8" s="3">
        <v>6.8391999407283297</v>
      </c>
      <c r="H8" s="3">
        <v>7.7959487446901496</v>
      </c>
    </row>
    <row r="9" spans="1:8" x14ac:dyDescent="0.2">
      <c r="A9" s="3">
        <v>7</v>
      </c>
      <c r="B9" s="3">
        <v>7.9998012178044702</v>
      </c>
      <c r="C9" s="3">
        <v>7.6325136715370396</v>
      </c>
      <c r="D9" s="3">
        <v>7.9998374024838501</v>
      </c>
      <c r="E9" s="3">
        <v>7.8526887179179896</v>
      </c>
      <c r="F9" s="3">
        <v>7.9998348106972204</v>
      </c>
      <c r="G9" s="3">
        <v>6.80952074166954</v>
      </c>
      <c r="H9" s="3">
        <v>7.7956297021619996</v>
      </c>
    </row>
    <row r="10" spans="1:8" x14ac:dyDescent="0.2">
      <c r="A10" s="3">
        <v>8</v>
      </c>
      <c r="B10" s="3">
        <v>7.9998147563784299</v>
      </c>
      <c r="C10" s="3">
        <v>7.6322940567360096</v>
      </c>
      <c r="D10" s="3">
        <v>7.9998360595402502</v>
      </c>
      <c r="E10" s="3">
        <v>7.84246139789916</v>
      </c>
      <c r="F10" s="3">
        <v>7.9998299029914897</v>
      </c>
      <c r="G10" s="3">
        <v>6.8135447068496804</v>
      </c>
      <c r="H10" s="3">
        <v>7.7953891077186404</v>
      </c>
    </row>
    <row r="11" spans="1:8" x14ac:dyDescent="0.2">
      <c r="A11" s="3">
        <v>9</v>
      </c>
      <c r="B11" s="3">
        <v>7.9998473559445404</v>
      </c>
      <c r="C11" s="3">
        <v>7.6327512788008702</v>
      </c>
      <c r="D11" s="3">
        <v>7.9998414739697497</v>
      </c>
      <c r="E11" s="3">
        <v>7.8402022316571003</v>
      </c>
      <c r="F11" s="3">
        <v>7.9998369194208898</v>
      </c>
      <c r="G11" s="3">
        <v>6.7745017253870996</v>
      </c>
      <c r="H11" s="3">
        <v>7.7957797895844498</v>
      </c>
    </row>
    <row r="12" spans="1:8" x14ac:dyDescent="0.2">
      <c r="A12" s="3">
        <v>10</v>
      </c>
      <c r="B12" s="3">
        <v>7.9998220951580796</v>
      </c>
      <c r="C12" s="3">
        <v>7.6333066067977997</v>
      </c>
      <c r="D12" s="3">
        <v>7.9998444935249298</v>
      </c>
      <c r="E12" s="3">
        <v>7.83657369189139</v>
      </c>
      <c r="F12" s="3">
        <v>7.9997895743902401</v>
      </c>
      <c r="G12" s="3">
        <v>6.7797973468470296</v>
      </c>
      <c r="H12" s="3">
        <v>7.7953525418576399</v>
      </c>
    </row>
    <row r="13" spans="1:8" x14ac:dyDescent="0.2">
      <c r="A13" s="3">
        <v>11</v>
      </c>
      <c r="B13" s="3">
        <v>7.9998319007976697</v>
      </c>
      <c r="C13" s="3">
        <v>7.99984197311489</v>
      </c>
      <c r="D13" s="3">
        <v>7.9998474904263999</v>
      </c>
      <c r="E13" s="3">
        <v>7.8188231539431996</v>
      </c>
      <c r="F13" s="3">
        <v>7.9998435341654099</v>
      </c>
      <c r="G13" s="3">
        <v>6.716312172386</v>
      </c>
      <c r="H13" s="3">
        <v>7.7944018997616</v>
      </c>
    </row>
    <row r="14" spans="1:8" x14ac:dyDescent="0.2">
      <c r="A14" s="3">
        <v>12</v>
      </c>
      <c r="B14" s="3">
        <v>7.9998397561138903</v>
      </c>
      <c r="C14" s="3">
        <v>7.63239941492174</v>
      </c>
      <c r="D14" s="3">
        <v>7.9998321004943698</v>
      </c>
      <c r="E14" s="3">
        <v>7.8290496975774699</v>
      </c>
      <c r="F14" s="3">
        <v>7.9998547419450396</v>
      </c>
      <c r="G14" s="3">
        <v>6.7815200442211001</v>
      </c>
      <c r="H14" s="3">
        <v>7.79650401599904</v>
      </c>
    </row>
    <row r="15" spans="1:8" x14ac:dyDescent="0.2">
      <c r="A15" s="3">
        <v>13</v>
      </c>
      <c r="B15" s="3">
        <v>7.9998329628671501</v>
      </c>
      <c r="C15" s="3">
        <v>7.6323525157808598</v>
      </c>
      <c r="D15" s="3">
        <v>7.9998456648046998</v>
      </c>
      <c r="E15" s="3">
        <v>7.8359552859734203</v>
      </c>
      <c r="F15" s="3">
        <v>7.9998022696022497</v>
      </c>
      <c r="G15" s="3">
        <v>6.8593316592559699</v>
      </c>
      <c r="H15" s="3">
        <v>7.79676759728767</v>
      </c>
    </row>
    <row r="16" spans="1:8" x14ac:dyDescent="0.2">
      <c r="A16" s="3">
        <v>14</v>
      </c>
      <c r="B16" s="3">
        <v>7.9998356061727796</v>
      </c>
      <c r="C16" s="3">
        <v>7.6323191943528403</v>
      </c>
      <c r="D16" s="3">
        <v>7.9998386545167799</v>
      </c>
      <c r="E16" s="3">
        <v>7.8254267787585503</v>
      </c>
      <c r="F16" s="3">
        <v>7.9998352209129902</v>
      </c>
      <c r="G16" s="3">
        <v>6.7225253203668398</v>
      </c>
      <c r="H16" s="3">
        <v>7.7950738252768899</v>
      </c>
    </row>
    <row r="17" spans="1:12" x14ac:dyDescent="0.2">
      <c r="A17" s="3">
        <v>15</v>
      </c>
      <c r="B17" s="3">
        <v>7.9998262381277003</v>
      </c>
      <c r="C17" s="3">
        <v>7.6330799015516799</v>
      </c>
      <c r="D17" s="3">
        <v>7.99984831400959</v>
      </c>
      <c r="E17" s="3">
        <v>7.8381312732046498</v>
      </c>
      <c r="F17" s="3">
        <v>7.9997985838404997</v>
      </c>
      <c r="G17" s="3">
        <v>6.8134928651333899</v>
      </c>
      <c r="H17" s="3">
        <v>7.7955456502415403</v>
      </c>
    </row>
    <row r="18" spans="1:12" x14ac:dyDescent="0.2">
      <c r="A18" s="3">
        <v>16</v>
      </c>
      <c r="B18" s="3">
        <v>7.9998179092730402</v>
      </c>
      <c r="C18" s="3">
        <v>7.63218854266555</v>
      </c>
      <c r="D18" s="3">
        <v>7.9998283047044403</v>
      </c>
      <c r="E18" s="3">
        <v>7.8490917308237096</v>
      </c>
      <c r="F18" s="3">
        <v>7.9998321021781997</v>
      </c>
      <c r="G18" s="3">
        <v>6.7922228833267004</v>
      </c>
      <c r="H18" s="3">
        <v>7.7949752506721204</v>
      </c>
    </row>
    <row r="19" spans="1:12" x14ac:dyDescent="0.2">
      <c r="A19" s="3">
        <v>17</v>
      </c>
      <c r="B19" s="7">
        <v>7.9998682033250503</v>
      </c>
      <c r="C19" s="3">
        <v>7.6322125648847301</v>
      </c>
      <c r="D19" s="3">
        <v>7.9998419793774804</v>
      </c>
      <c r="E19" s="3">
        <v>7.8471657235715897</v>
      </c>
      <c r="F19" s="3">
        <v>7.9998362532311402</v>
      </c>
      <c r="G19" s="3">
        <v>6.8212618464964399</v>
      </c>
      <c r="H19" s="3">
        <v>7.7964308206346704</v>
      </c>
    </row>
    <row r="20" spans="1:12" x14ac:dyDescent="0.2">
      <c r="A20" s="3">
        <v>18</v>
      </c>
      <c r="B20" s="3">
        <v>7.9998143943307998</v>
      </c>
      <c r="C20" s="3">
        <v>7.6326634207696404</v>
      </c>
      <c r="D20" s="3">
        <v>7.9998384148246897</v>
      </c>
      <c r="E20" s="3">
        <v>7.8432796166584398</v>
      </c>
      <c r="F20" s="3">
        <v>7.9998184951476201</v>
      </c>
      <c r="G20" s="3">
        <v>6.7832750836929101</v>
      </c>
      <c r="H20" s="3">
        <v>7.7959244705223298</v>
      </c>
    </row>
    <row r="21" spans="1:12" x14ac:dyDescent="0.2">
      <c r="A21" s="3">
        <v>19</v>
      </c>
      <c r="B21" s="3">
        <v>7.9998220064855401</v>
      </c>
      <c r="C21" s="3">
        <v>7.6332864729550698</v>
      </c>
      <c r="D21" s="3">
        <v>7.9998394290868697</v>
      </c>
      <c r="E21" s="3">
        <v>7.8465005970023203</v>
      </c>
      <c r="F21" s="3">
        <v>7.9998140219375298</v>
      </c>
      <c r="G21" s="3">
        <v>6.8171318794772198</v>
      </c>
      <c r="H21" s="3">
        <v>7.7946309547282597</v>
      </c>
    </row>
    <row r="22" spans="1:12" x14ac:dyDescent="0.2">
      <c r="A22" s="3">
        <v>20</v>
      </c>
      <c r="B22" s="3">
        <v>7.9998141485283503</v>
      </c>
      <c r="C22" s="3">
        <v>7.63242276507507</v>
      </c>
      <c r="D22" s="3">
        <v>7.99984262837354</v>
      </c>
      <c r="E22" s="3">
        <v>7.84658367203137</v>
      </c>
      <c r="F22" s="3">
        <v>7.9998014361284397</v>
      </c>
      <c r="G22" s="3">
        <v>6.8362787957703901</v>
      </c>
      <c r="H22" s="3">
        <v>7.7957123813926996</v>
      </c>
    </row>
    <row r="23" spans="1:12" x14ac:dyDescent="0.2">
      <c r="A23" s="3">
        <v>21</v>
      </c>
      <c r="B23" s="3">
        <v>7.9998111861803203</v>
      </c>
      <c r="C23" s="3">
        <v>7.6314995459396497</v>
      </c>
      <c r="D23" s="3">
        <v>7.9998190157976001</v>
      </c>
      <c r="E23" s="3">
        <v>7.8554665494004698</v>
      </c>
      <c r="F23" s="3">
        <v>7.9998110959878801</v>
      </c>
      <c r="G23" s="3">
        <v>6.8950345755761502</v>
      </c>
      <c r="H23" s="3">
        <v>7.7960823307245199</v>
      </c>
    </row>
    <row r="24" spans="1:12" x14ac:dyDescent="0.2">
      <c r="A24" s="3">
        <v>22</v>
      </c>
      <c r="B24" s="3">
        <v>7.9998531538682602</v>
      </c>
      <c r="C24" s="3">
        <v>7.6315384032409401</v>
      </c>
      <c r="D24" s="3">
        <v>7.99982419434801</v>
      </c>
      <c r="E24" s="3">
        <v>7.8456152093832703</v>
      </c>
      <c r="F24" s="3">
        <v>7.9998285107291203</v>
      </c>
      <c r="G24" s="3">
        <v>6.8756980289960499</v>
      </c>
      <c r="H24" s="3">
        <v>7.7965955083608698</v>
      </c>
    </row>
    <row r="25" spans="1:12" x14ac:dyDescent="0.2">
      <c r="A25" s="3">
        <v>23</v>
      </c>
      <c r="B25" s="3">
        <v>7.9998142417568596</v>
      </c>
      <c r="C25" s="3">
        <v>7.6323205203651998</v>
      </c>
      <c r="D25" s="3">
        <v>7.99982381830488</v>
      </c>
      <c r="E25" s="3">
        <v>7.8570064353029396</v>
      </c>
      <c r="F25" s="3">
        <v>7.9998203276156703</v>
      </c>
      <c r="G25" s="3">
        <v>6.8325330856109403</v>
      </c>
      <c r="H25" s="3">
        <v>7.7953883387733098</v>
      </c>
      <c r="L25" s="1">
        <v>7.9998366758666899</v>
      </c>
    </row>
    <row r="26" spans="1:12" x14ac:dyDescent="0.2">
      <c r="A26" s="3">
        <v>24</v>
      </c>
      <c r="B26" s="3">
        <v>7.9998346924276698</v>
      </c>
      <c r="C26" s="3">
        <v>7.6321979791504697</v>
      </c>
      <c r="D26" s="3">
        <v>7.9998239242273002</v>
      </c>
      <c r="E26" s="3">
        <v>7.8522418618539902</v>
      </c>
      <c r="F26" s="3">
        <v>7.9998220293110904</v>
      </c>
      <c r="G26" s="3">
        <v>6.7750681065766303</v>
      </c>
      <c r="H26" s="3">
        <v>7.7955796270870099</v>
      </c>
    </row>
    <row r="27" spans="1:12" x14ac:dyDescent="0.2">
      <c r="A27" s="3">
        <v>25</v>
      </c>
      <c r="B27" s="3">
        <v>7.9998184207704899</v>
      </c>
      <c r="C27" s="3">
        <v>7.6331227508813999</v>
      </c>
      <c r="D27" s="3">
        <v>7.9998393663695397</v>
      </c>
      <c r="E27" s="3">
        <v>7.8223356840626597</v>
      </c>
      <c r="F27" s="3">
        <v>7.9998365442224602</v>
      </c>
      <c r="G27" s="3">
        <v>6.71635898464449</v>
      </c>
      <c r="H27" s="3">
        <v>7.7954894070231404</v>
      </c>
    </row>
    <row r="28" spans="1:12" x14ac:dyDescent="0.2">
      <c r="A28" s="3">
        <v>26</v>
      </c>
      <c r="B28" s="3">
        <v>7.9998401710766398</v>
      </c>
      <c r="C28" s="3">
        <v>7.6319889493132997</v>
      </c>
      <c r="D28" s="3">
        <v>7.9998467562908004</v>
      </c>
      <c r="E28" s="3">
        <v>7.8562090619138099</v>
      </c>
      <c r="F28" s="3">
        <v>7.9998250151447099</v>
      </c>
      <c r="G28" s="3">
        <v>6.7786549652565498</v>
      </c>
      <c r="H28" s="3">
        <v>7.7940195702202901</v>
      </c>
    </row>
    <row r="29" spans="1:12" x14ac:dyDescent="0.2">
      <c r="A29" s="3">
        <v>27</v>
      </c>
      <c r="B29" s="3">
        <v>7.9998379721814104</v>
      </c>
      <c r="C29" s="3">
        <v>7.6328852504074103</v>
      </c>
      <c r="D29" s="3">
        <v>7.99982954801715</v>
      </c>
      <c r="E29" s="3">
        <v>7.8550002989850602</v>
      </c>
      <c r="F29" s="3">
        <v>7.9998384889677503</v>
      </c>
      <c r="G29" s="3">
        <v>6.7530523874831099</v>
      </c>
      <c r="H29" s="3">
        <v>7.7949927817491602</v>
      </c>
    </row>
    <row r="30" spans="1:12" x14ac:dyDescent="0.2">
      <c r="A30" s="3">
        <v>28</v>
      </c>
      <c r="B30" s="3">
        <v>7.99982346499276</v>
      </c>
      <c r="C30" s="3">
        <v>7.6312342826383697</v>
      </c>
      <c r="D30" s="3">
        <v>7.99983045042244</v>
      </c>
      <c r="E30" s="3">
        <v>7.8511437548848697</v>
      </c>
      <c r="F30" s="3">
        <v>7.99983448144578</v>
      </c>
      <c r="G30" s="3">
        <v>6.8715216763632201</v>
      </c>
      <c r="H30" s="3">
        <v>7.7954487816737998</v>
      </c>
    </row>
    <row r="31" spans="1:12" x14ac:dyDescent="0.2">
      <c r="A31" s="3">
        <v>29</v>
      </c>
      <c r="B31" s="3">
        <v>7.9998285234661504</v>
      </c>
      <c r="C31" s="3">
        <v>7.6332090993269501</v>
      </c>
      <c r="D31" s="3">
        <v>7.9998298371157803</v>
      </c>
      <c r="E31" s="3">
        <v>7.8467318847618497</v>
      </c>
      <c r="F31" s="3">
        <v>7.9998019216205396</v>
      </c>
      <c r="G31" s="3">
        <v>6.7978988415505999</v>
      </c>
      <c r="H31" s="3">
        <v>7.79547164898724</v>
      </c>
    </row>
    <row r="32" spans="1:12" x14ac:dyDescent="0.2">
      <c r="A32" s="3">
        <v>30</v>
      </c>
      <c r="B32" s="3">
        <v>7.9998379619111404</v>
      </c>
      <c r="C32" s="3">
        <v>7.6335673000181901</v>
      </c>
      <c r="D32" s="3">
        <v>7.99983350956468</v>
      </c>
      <c r="E32" s="3">
        <v>7.8387299301939404</v>
      </c>
      <c r="F32" s="3">
        <v>7.9998173212816903</v>
      </c>
      <c r="G32" s="3">
        <v>6.8088508470878599</v>
      </c>
      <c r="H32" s="3">
        <v>7.79550347556843</v>
      </c>
    </row>
    <row r="33" spans="1:9" x14ac:dyDescent="0.2">
      <c r="A33" s="1" t="s">
        <v>9</v>
      </c>
      <c r="B33" s="1">
        <f>AVERAGE(B3:B32)</f>
        <v>7.9998278662879301</v>
      </c>
      <c r="C33" s="1">
        <f>AVERAGE(C3:C32)</f>
        <v>7.6448124327282496</v>
      </c>
      <c r="D33" s="5">
        <f t="shared" ref="D33:E33" si="0">AVERAGE(D3:D32)</f>
        <v>7.9998366758666926</v>
      </c>
      <c r="E33" s="1">
        <f t="shared" si="0"/>
        <v>7.8435024808382705</v>
      </c>
      <c r="F33" s="1">
        <f>AVERAGE(F3:F32)</f>
        <v>7.9998226046825067</v>
      </c>
      <c r="G33" s="1">
        <f t="shared" ref="G33" si="1">AVERAGE(G3:G32)</f>
        <v>6.8052155195849533</v>
      </c>
      <c r="H33" s="1">
        <f>AVERAGE(H3:H32)</f>
        <v>7.7955867293970806</v>
      </c>
    </row>
    <row r="34" spans="1:9" x14ac:dyDescent="0.2">
      <c r="A34" s="1" t="s">
        <v>10</v>
      </c>
      <c r="B34" s="1">
        <f>MAX(B33:H33)</f>
        <v>7.9998366758666926</v>
      </c>
      <c r="I34" s="6"/>
    </row>
  </sheetData>
  <mergeCells count="1">
    <mergeCell ref="A1:H1"/>
  </mergeCells>
  <pageMargins left="0.7" right="0.7" top="0.75" bottom="0.75" header="0.3" footer="0.3"/>
  <pageSetup paperSize="9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C1E3-71EA-4D00-AA5B-26DC9F9D36D8}">
  <dimension ref="A1:M78"/>
  <sheetViews>
    <sheetView rightToLeft="1" topLeftCell="A37" workbookViewId="0">
      <selection activeCell="K6" sqref="K6"/>
    </sheetView>
  </sheetViews>
  <sheetFormatPr defaultRowHeight="14.25" x14ac:dyDescent="0.2"/>
  <cols>
    <col min="1" max="1" width="5.375" bestFit="1" customWidth="1"/>
    <col min="2" max="2" width="9.5" bestFit="1" customWidth="1"/>
    <col min="3" max="8" width="11.875" bestFit="1" customWidth="1"/>
    <col min="9" max="9" width="5.25" bestFit="1" customWidth="1"/>
  </cols>
  <sheetData>
    <row r="1" spans="1:9" x14ac:dyDescent="0.2">
      <c r="A1" t="s">
        <v>19</v>
      </c>
      <c r="B1" t="s">
        <v>20</v>
      </c>
    </row>
    <row r="2" spans="1:9" x14ac:dyDescent="0.2">
      <c r="A2">
        <v>7</v>
      </c>
      <c r="B2">
        <v>7</v>
      </c>
    </row>
    <row r="6" spans="1:9" ht="15" x14ac:dyDescent="0.2">
      <c r="C6" s="52"/>
      <c r="D6" s="52"/>
      <c r="E6" s="52"/>
      <c r="F6" s="52"/>
      <c r="G6" s="52"/>
      <c r="H6" s="52"/>
      <c r="I6" s="52"/>
    </row>
    <row r="7" spans="1:9" ht="15" x14ac:dyDescent="0.2">
      <c r="C7" s="4"/>
      <c r="D7" s="4"/>
      <c r="E7" s="4"/>
      <c r="F7" s="4"/>
      <c r="G7" s="4"/>
      <c r="H7" s="4"/>
      <c r="I7" s="4"/>
    </row>
    <row r="8" spans="1:9" ht="15" x14ac:dyDescent="0.2">
      <c r="C8" s="4"/>
      <c r="D8" s="20"/>
      <c r="E8" s="3"/>
      <c r="F8" s="3"/>
      <c r="G8" s="3"/>
      <c r="H8" s="20"/>
      <c r="I8" s="20"/>
    </row>
    <row r="9" spans="1:9" ht="15" x14ac:dyDescent="0.2">
      <c r="C9" s="4"/>
      <c r="D9" s="3"/>
      <c r="E9" s="3"/>
      <c r="F9" s="3"/>
      <c r="G9" s="10"/>
      <c r="H9" s="3"/>
      <c r="I9" s="3"/>
    </row>
    <row r="10" spans="1:9" ht="15" x14ac:dyDescent="0.2">
      <c r="C10" s="4"/>
      <c r="D10" s="3"/>
      <c r="E10" s="3"/>
      <c r="F10" s="20"/>
      <c r="G10" s="20"/>
      <c r="H10" s="3"/>
      <c r="I10" s="3"/>
    </row>
    <row r="11" spans="1:9" ht="15" x14ac:dyDescent="0.2">
      <c r="C11" s="4"/>
      <c r="D11" s="11"/>
      <c r="E11" s="40"/>
      <c r="F11" s="40"/>
      <c r="G11" s="40"/>
      <c r="H11" s="2"/>
      <c r="I11" s="40"/>
    </row>
    <row r="12" spans="1:9" ht="15" x14ac:dyDescent="0.2">
      <c r="C12" s="4"/>
      <c r="D12" s="2"/>
      <c r="E12" s="2"/>
      <c r="F12" s="40"/>
      <c r="G12" s="2"/>
      <c r="H12" s="2"/>
      <c r="I12" s="2"/>
    </row>
    <row r="13" spans="1:9" ht="15" x14ac:dyDescent="0.2">
      <c r="C13" s="4"/>
      <c r="D13" s="2"/>
      <c r="E13" s="11"/>
      <c r="F13" s="11"/>
      <c r="G13" s="2"/>
      <c r="H13" s="11"/>
      <c r="I13" s="11"/>
    </row>
    <row r="14" spans="1:9" ht="15" x14ac:dyDescent="0.2">
      <c r="C14" s="4"/>
      <c r="D14" s="2"/>
      <c r="E14" s="2"/>
      <c r="F14" s="2"/>
      <c r="G14" s="2"/>
      <c r="H14" s="2"/>
      <c r="I14" s="2"/>
    </row>
    <row r="15" spans="1:9" ht="15" x14ac:dyDescent="0.25">
      <c r="C15" s="12"/>
      <c r="D15" s="10"/>
      <c r="E15" s="10"/>
      <c r="F15" s="10"/>
      <c r="G15" s="10"/>
      <c r="H15" s="10"/>
      <c r="I15" s="10"/>
    </row>
    <row r="19" spans="2:13" x14ac:dyDescent="0.2">
      <c r="B19" s="1"/>
      <c r="C19" s="1"/>
      <c r="D19" s="1"/>
      <c r="E19" s="1"/>
      <c r="F19" s="1"/>
      <c r="G19" s="1"/>
      <c r="H19" s="1"/>
      <c r="L19" s="1" t="s">
        <v>17</v>
      </c>
      <c r="M19" s="1" t="s">
        <v>8</v>
      </c>
    </row>
    <row r="20" spans="2:13" x14ac:dyDescent="0.2">
      <c r="B20" s="1"/>
      <c r="C20" s="1"/>
      <c r="D20" s="1"/>
      <c r="E20" s="1"/>
      <c r="F20" s="1"/>
      <c r="G20" s="1"/>
      <c r="H20" s="1"/>
      <c r="L20" s="1" t="s">
        <v>4</v>
      </c>
      <c r="M20" s="1">
        <v>7.9972007743193485</v>
      </c>
    </row>
    <row r="21" spans="2:13" x14ac:dyDescent="0.2">
      <c r="B21" s="1"/>
      <c r="C21" s="1"/>
      <c r="D21" s="1"/>
      <c r="E21" s="1"/>
      <c r="F21" s="1"/>
      <c r="G21" s="1"/>
      <c r="H21" s="1"/>
      <c r="L21" s="1" t="s">
        <v>18</v>
      </c>
      <c r="M21" s="1">
        <v>7.9972007743193485</v>
      </c>
    </row>
    <row r="22" spans="2:13" x14ac:dyDescent="0.2">
      <c r="B22" s="1"/>
      <c r="C22" s="1"/>
      <c r="D22" s="1"/>
      <c r="E22" s="1"/>
      <c r="F22" s="1"/>
      <c r="G22" s="1"/>
      <c r="H22" s="1"/>
      <c r="L22" s="1" t="s">
        <v>7</v>
      </c>
      <c r="M22" s="1">
        <v>7.2613609791079874</v>
      </c>
    </row>
    <row r="23" spans="2:13" x14ac:dyDescent="0.2">
      <c r="B23" s="1"/>
      <c r="C23" s="1"/>
      <c r="D23" s="1"/>
      <c r="E23" s="1"/>
      <c r="F23" s="1"/>
      <c r="G23" s="1"/>
      <c r="H23" s="1"/>
      <c r="L23" s="1" t="s">
        <v>2</v>
      </c>
      <c r="M23" s="1">
        <v>7.2083429911810564</v>
      </c>
    </row>
    <row r="24" spans="2:13" x14ac:dyDescent="0.2">
      <c r="B24" s="1"/>
      <c r="C24" s="1"/>
      <c r="D24" s="1"/>
      <c r="E24" s="1"/>
      <c r="F24" s="1"/>
      <c r="G24" s="1"/>
      <c r="H24" s="1"/>
      <c r="L24" s="1" t="s">
        <v>1</v>
      </c>
      <c r="M24" s="1">
        <v>7.1856409222357218</v>
      </c>
    </row>
    <row r="25" spans="2:13" x14ac:dyDescent="0.2">
      <c r="B25" s="1"/>
      <c r="C25" s="1"/>
      <c r="D25" s="1"/>
      <c r="E25" s="1"/>
      <c r="F25" s="1"/>
      <c r="G25" s="1"/>
      <c r="H25" s="1"/>
      <c r="L25" s="1" t="s">
        <v>3</v>
      </c>
      <c r="M25" s="1">
        <v>7.1730434426371561</v>
      </c>
    </row>
    <row r="26" spans="2:13" x14ac:dyDescent="0.2">
      <c r="B26" s="1"/>
      <c r="C26" s="1"/>
      <c r="D26" s="1"/>
      <c r="E26" s="1"/>
      <c r="F26" s="1"/>
      <c r="G26" s="1"/>
      <c r="H26" s="1"/>
      <c r="L26" s="1" t="s">
        <v>6</v>
      </c>
      <c r="M26" s="1">
        <v>7.1122381914897597</v>
      </c>
    </row>
    <row r="27" spans="2:13" x14ac:dyDescent="0.2">
      <c r="B27" s="1"/>
      <c r="C27" s="1"/>
      <c r="D27" s="1"/>
      <c r="E27" s="1"/>
      <c r="F27" s="1"/>
      <c r="G27" s="1"/>
      <c r="H27" s="1"/>
      <c r="L27" s="1" t="s">
        <v>5</v>
      </c>
      <c r="M27" s="1">
        <v>7.0384641183215262</v>
      </c>
    </row>
    <row r="29" spans="2:13" x14ac:dyDescent="0.2">
      <c r="L29" s="1" t="s">
        <v>17</v>
      </c>
      <c r="M29" s="1" t="s">
        <v>11</v>
      </c>
    </row>
    <row r="30" spans="2:13" x14ac:dyDescent="0.2">
      <c r="L30" s="1" t="s">
        <v>6</v>
      </c>
      <c r="M30" s="1">
        <v>0.30059497546428565</v>
      </c>
    </row>
    <row r="31" spans="2:13" x14ac:dyDescent="0.2">
      <c r="B31" s="1"/>
      <c r="C31" s="1"/>
      <c r="D31" s="1"/>
      <c r="E31" s="1"/>
      <c r="F31" s="1"/>
      <c r="G31" s="1"/>
      <c r="L31" s="1" t="s">
        <v>18</v>
      </c>
      <c r="M31" s="1">
        <v>0.30059497546428565</v>
      </c>
    </row>
    <row r="32" spans="2:13" x14ac:dyDescent="0.2">
      <c r="B32" s="1"/>
      <c r="C32" s="1"/>
      <c r="D32" s="1"/>
      <c r="E32" s="1"/>
      <c r="F32" s="1"/>
      <c r="G32" s="1"/>
      <c r="L32" s="1" t="s">
        <v>1</v>
      </c>
      <c r="M32" s="1">
        <v>0.29027958988755337</v>
      </c>
    </row>
    <row r="33" spans="2:13" x14ac:dyDescent="0.2">
      <c r="B33" s="1"/>
      <c r="C33" s="1"/>
      <c r="D33" s="1"/>
      <c r="E33" s="1"/>
      <c r="F33" s="1"/>
      <c r="G33" s="1"/>
      <c r="L33" s="1" t="s">
        <v>4</v>
      </c>
      <c r="M33" s="1">
        <v>0.2902240427171941</v>
      </c>
    </row>
    <row r="34" spans="2:13" x14ac:dyDescent="0.2">
      <c r="B34" s="1"/>
      <c r="C34" s="1"/>
      <c r="D34" s="1"/>
      <c r="E34" s="1"/>
      <c r="F34" s="1"/>
      <c r="G34" s="1"/>
      <c r="L34" s="1" t="s">
        <v>3</v>
      </c>
      <c r="M34" s="1">
        <v>0.2898834896828294</v>
      </c>
    </row>
    <row r="35" spans="2:13" x14ac:dyDescent="0.2">
      <c r="B35" s="1"/>
      <c r="C35" s="1"/>
      <c r="D35" s="1"/>
      <c r="E35" s="1"/>
      <c r="F35" s="1"/>
      <c r="G35" s="1"/>
      <c r="L35" s="1" t="s">
        <v>7</v>
      </c>
      <c r="M35" s="1">
        <v>0.28664358591297018</v>
      </c>
    </row>
    <row r="36" spans="2:13" x14ac:dyDescent="0.2">
      <c r="B36" s="1"/>
      <c r="C36" s="1"/>
      <c r="D36" s="1"/>
      <c r="E36" s="1"/>
      <c r="F36" s="1"/>
      <c r="G36" s="1"/>
      <c r="L36" s="1" t="s">
        <v>2</v>
      </c>
      <c r="M36" s="1">
        <v>0.2782268591576107</v>
      </c>
    </row>
    <row r="37" spans="2:13" x14ac:dyDescent="0.2">
      <c r="B37" s="1"/>
      <c r="C37" s="1"/>
      <c r="D37" s="1"/>
      <c r="E37" s="1"/>
      <c r="F37" s="1"/>
      <c r="G37" s="1"/>
      <c r="L37" s="1" t="s">
        <v>5</v>
      </c>
      <c r="M37" s="1">
        <v>0.23652993387511201</v>
      </c>
    </row>
    <row r="38" spans="2:13" x14ac:dyDescent="0.2">
      <c r="B38" s="1"/>
      <c r="C38" s="1"/>
      <c r="D38" s="1"/>
      <c r="E38" s="1"/>
      <c r="F38" s="1"/>
      <c r="G38" s="1"/>
    </row>
    <row r="39" spans="2:13" x14ac:dyDescent="0.2">
      <c r="L39" s="1" t="s">
        <v>17</v>
      </c>
      <c r="M39" s="1" t="s">
        <v>12</v>
      </c>
    </row>
    <row r="40" spans="2:13" x14ac:dyDescent="0.2">
      <c r="L40" s="1" t="s">
        <v>6</v>
      </c>
      <c r="M40" s="1">
        <v>5.2208948586683874</v>
      </c>
    </row>
    <row r="41" spans="2:13" x14ac:dyDescent="0.2">
      <c r="L41" s="1" t="s">
        <v>18</v>
      </c>
      <c r="M41" s="1">
        <v>5.2208948586683874</v>
      </c>
    </row>
    <row r="42" spans="2:13" x14ac:dyDescent="0.2">
      <c r="L42" s="1" t="s">
        <v>4</v>
      </c>
      <c r="M42" s="1">
        <v>5.3712804759182218</v>
      </c>
    </row>
    <row r="43" spans="2:13" x14ac:dyDescent="0.2">
      <c r="L43" s="1" t="s">
        <v>1</v>
      </c>
      <c r="M43" s="1">
        <v>5.3729789474680842</v>
      </c>
    </row>
    <row r="44" spans="2:13" x14ac:dyDescent="0.2">
      <c r="L44" s="1" t="s">
        <v>3</v>
      </c>
      <c r="M44" s="1">
        <v>5.3787946861397229</v>
      </c>
    </row>
    <row r="45" spans="2:13" x14ac:dyDescent="0.2">
      <c r="L45" s="1" t="s">
        <v>7</v>
      </c>
      <c r="M45" s="1">
        <v>5.4282262184871177</v>
      </c>
    </row>
    <row r="46" spans="2:13" x14ac:dyDescent="0.2">
      <c r="L46" s="1" t="s">
        <v>2</v>
      </c>
      <c r="M46" s="1">
        <v>5.560917661928328</v>
      </c>
    </row>
    <row r="47" spans="2:13" x14ac:dyDescent="0.2">
      <c r="L47" s="1" t="s">
        <v>5</v>
      </c>
      <c r="M47" s="1">
        <v>6.3103427283476936</v>
      </c>
    </row>
    <row r="49" spans="12:13" x14ac:dyDescent="0.2">
      <c r="L49" s="1" t="s">
        <v>17</v>
      </c>
      <c r="M49" s="1" t="s">
        <v>13</v>
      </c>
    </row>
    <row r="50" spans="12:13" x14ac:dyDescent="0.2">
      <c r="L50" s="1" t="s">
        <v>18</v>
      </c>
      <c r="M50" s="1">
        <v>8.2176349764412591E-3</v>
      </c>
    </row>
    <row r="51" spans="12:13" x14ac:dyDescent="0.2">
      <c r="L51" s="1" t="s">
        <v>2</v>
      </c>
      <c r="M51" s="1">
        <v>8.2176349764412591E-3</v>
      </c>
    </row>
    <row r="52" spans="12:13" x14ac:dyDescent="0.2">
      <c r="L52" s="1" t="s">
        <v>7</v>
      </c>
      <c r="M52" s="1">
        <v>8.4205029055356932E-3</v>
      </c>
    </row>
    <row r="53" spans="12:13" x14ac:dyDescent="0.2">
      <c r="L53" s="1" t="s">
        <v>1</v>
      </c>
      <c r="M53" s="1">
        <v>8.4743625892856281E-3</v>
      </c>
    </row>
    <row r="54" spans="12:13" x14ac:dyDescent="0.2">
      <c r="L54" s="1" t="s">
        <v>3</v>
      </c>
      <c r="M54" s="1">
        <v>8.6611298434517772E-3</v>
      </c>
    </row>
    <row r="55" spans="12:13" x14ac:dyDescent="0.2">
      <c r="L55" s="1" t="s">
        <v>6</v>
      </c>
      <c r="M55" s="1">
        <v>8.6737362832732326E-3</v>
      </c>
    </row>
    <row r="56" spans="12:13" x14ac:dyDescent="0.2">
      <c r="L56" s="1" t="s">
        <v>4</v>
      </c>
      <c r="M56" s="1">
        <v>9.5338852067398359E-3</v>
      </c>
    </row>
    <row r="57" spans="12:13" x14ac:dyDescent="0.2">
      <c r="L57" s="1" t="s">
        <v>5</v>
      </c>
      <c r="M57" s="1">
        <v>9.9047044516483006E-3</v>
      </c>
    </row>
    <row r="59" spans="12:13" x14ac:dyDescent="0.2">
      <c r="L59" s="1" t="s">
        <v>17</v>
      </c>
      <c r="M59" s="1" t="s">
        <v>14</v>
      </c>
    </row>
    <row r="60" spans="12:13" x14ac:dyDescent="0.2">
      <c r="L60" s="1" t="s">
        <v>18</v>
      </c>
      <c r="M60" s="1">
        <v>99.485954920450851</v>
      </c>
    </row>
    <row r="61" spans="12:13" x14ac:dyDescent="0.2">
      <c r="L61" s="1" t="s">
        <v>6</v>
      </c>
      <c r="M61" s="1">
        <v>99.485954920450851</v>
      </c>
    </row>
    <row r="62" spans="12:13" x14ac:dyDescent="0.2">
      <c r="L62" s="1" t="s">
        <v>3</v>
      </c>
      <c r="M62" s="1">
        <v>98.358357747395829</v>
      </c>
    </row>
    <row r="63" spans="12:13" x14ac:dyDescent="0.2">
      <c r="L63" s="1" t="s">
        <v>5</v>
      </c>
      <c r="M63" s="1">
        <v>98.129599889119461</v>
      </c>
    </row>
    <row r="64" spans="12:13" x14ac:dyDescent="0.2">
      <c r="L64" s="1" t="s">
        <v>7</v>
      </c>
      <c r="M64" s="1">
        <v>97.4371337890625</v>
      </c>
    </row>
    <row r="65" spans="12:13" x14ac:dyDescent="0.2">
      <c r="L65" s="1" t="s">
        <v>1</v>
      </c>
      <c r="M65" s="1">
        <v>96.969706217447921</v>
      </c>
    </row>
    <row r="66" spans="12:13" x14ac:dyDescent="0.2">
      <c r="L66" s="1" t="s">
        <v>4</v>
      </c>
      <c r="M66" s="1">
        <v>73.687286376953125</v>
      </c>
    </row>
    <row r="67" spans="12:13" x14ac:dyDescent="0.2">
      <c r="L67" s="1" t="s">
        <v>2</v>
      </c>
      <c r="M67" s="1">
        <v>32.603234185112804</v>
      </c>
    </row>
    <row r="70" spans="12:13" x14ac:dyDescent="0.2">
      <c r="L70" s="1" t="s">
        <v>17</v>
      </c>
      <c r="M70" s="1" t="s">
        <v>15</v>
      </c>
    </row>
    <row r="71" spans="12:13" x14ac:dyDescent="0.2">
      <c r="L71" s="1" t="s">
        <v>18</v>
      </c>
      <c r="M71" s="1">
        <v>33.754838744798306</v>
      </c>
    </row>
    <row r="72" spans="12:13" x14ac:dyDescent="0.2">
      <c r="L72" s="1" t="s">
        <v>6</v>
      </c>
      <c r="M72" s="1">
        <v>33.754838744798306</v>
      </c>
    </row>
    <row r="73" spans="12:13" x14ac:dyDescent="0.2">
      <c r="L73" s="1" t="s">
        <v>1</v>
      </c>
      <c r="M73" s="1">
        <v>33.512500837736049</v>
      </c>
    </row>
    <row r="74" spans="12:13" x14ac:dyDescent="0.2">
      <c r="L74" s="1" t="s">
        <v>3</v>
      </c>
      <c r="M74" s="1">
        <v>33.455781624985178</v>
      </c>
    </row>
    <row r="75" spans="12:13" x14ac:dyDescent="0.2">
      <c r="L75" s="1" t="s">
        <v>7</v>
      </c>
      <c r="M75" s="1">
        <v>33.373413883783122</v>
      </c>
    </row>
    <row r="76" spans="12:13" x14ac:dyDescent="0.2">
      <c r="L76" s="1" t="s">
        <v>4</v>
      </c>
      <c r="M76" s="1">
        <v>21.144480187906289</v>
      </c>
    </row>
    <row r="77" spans="12:13" x14ac:dyDescent="0.2">
      <c r="L77" s="1" t="s">
        <v>5</v>
      </c>
      <c r="M77" s="1">
        <v>16.231486638387043</v>
      </c>
    </row>
    <row r="78" spans="12:13" x14ac:dyDescent="0.2">
      <c r="L78" s="1" t="s">
        <v>2</v>
      </c>
      <c r="M78" s="1">
        <v>10.803673505263596</v>
      </c>
    </row>
  </sheetData>
  <sortState xmlns:xlrd2="http://schemas.microsoft.com/office/spreadsheetml/2017/richdata2" ref="L71:M78">
    <sortCondition descending="1" ref="M71:M78"/>
  </sortState>
  <mergeCells count="1">
    <mergeCell ref="C6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AVERAGE</vt:lpstr>
      <vt:lpstr>IEDS</vt:lpstr>
      <vt:lpstr>VC</vt:lpstr>
      <vt:lpstr>MIE</vt:lpstr>
      <vt:lpstr>CIE</vt:lpstr>
      <vt:lpstr>VQ</vt:lpstr>
      <vt:lpstr>DRPE</vt:lpstr>
      <vt:lpstr>SCAN</vt:lpstr>
      <vt:lpstr>Sheet1</vt:lpstr>
      <vt:lpstr>ل</vt:lpstr>
      <vt:lpstr>AVERAGE!Print_Area</vt:lpstr>
      <vt:lpstr>CIE!Print_Area</vt:lpstr>
      <vt:lpstr>DRPE!Print_Area</vt:lpstr>
      <vt:lpstr>IEDS!Print_Area</vt:lpstr>
      <vt:lpstr>MIE!Print_Area</vt:lpstr>
      <vt:lpstr>SCAN!Print_Area</vt:lpstr>
      <vt:lpstr>Sheet1!Print_Area</vt:lpstr>
      <vt:lpstr>VC!Print_Area</vt:lpstr>
      <vt:lpstr>VQ!Print_Area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AliAkbar Cholak</dc:creator>
  <cp:lastModifiedBy>AliAkbar Cholak</cp:lastModifiedBy>
  <cp:lastPrinted>2025-09-14T17:21:08Z</cp:lastPrinted>
  <dcterms:created xsi:type="dcterms:W3CDTF">2025-09-11T22:01:30Z</dcterms:created>
  <dcterms:modified xsi:type="dcterms:W3CDTF">2025-09-24T11:49:27Z</dcterms:modified>
</cp:coreProperties>
</file>